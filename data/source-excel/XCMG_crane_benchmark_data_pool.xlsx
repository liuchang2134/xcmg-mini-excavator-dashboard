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xcmgnorthamerica-my.sharepoint.com/personal/dfrerking_xcmgarc_com/Documents/Desktop/"/>
    </mc:Choice>
  </mc:AlternateContent>
  <xr:revisionPtr revIDLastSave="2551" documentId="8_{B557EDE5-4D08-488E-A279-39892B5F040A}" xr6:coauthVersionLast="47" xr6:coauthVersionMax="47" xr10:uidLastSave="{09ADCE14-9D65-4A04-80F4-5EEEB374B09D}"/>
  <bookViews>
    <workbookView xWindow="1950" yWindow="945" windowWidth="11400" windowHeight="14235" activeTab="6" xr2:uid="{00000000-000D-0000-FFFF-FFFF00000000}"/>
  </bookViews>
  <sheets>
    <sheet name="Sheet1" sheetId="29" r:id="rId1"/>
    <sheet name="RT-60t" sheetId="31" r:id="rId2"/>
    <sheet name="RT-75t " sheetId="32" r:id="rId3"/>
    <sheet name="RT-100t" sheetId="28" r:id="rId4"/>
    <sheet name="RT-130t" sheetId="30" r:id="rId5"/>
    <sheet name="RT-160t" sheetId="27" r:id="rId6"/>
    <sheet name="AT-150t" sheetId="33" r:id="rId7"/>
    <sheet name="5-6" sheetId="9" r:id="rId8"/>
    <sheet name="6-7 缺" sheetId="17" r:id="rId9"/>
    <sheet name="40-60" sheetId="19" r:id="rId10"/>
    <sheet name="总结" sheetId="24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0" l="1"/>
  <c r="Q27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Frerking</author>
  </authors>
  <commentList>
    <comment ref="C3" authorId="0" shapeId="0" xr:uid="{784154D3-CE1D-4A17-9414-0BBD684C3728}">
      <text>
        <r>
          <rPr>
            <b/>
            <sz val="9"/>
            <color indexed="81"/>
            <rFont val="Tahoma"/>
            <charset val="1"/>
          </rPr>
          <t>David Frerking:</t>
        </r>
        <r>
          <rPr>
            <sz val="9"/>
            <color indexed="81"/>
            <rFont val="Tahoma"/>
            <charset val="1"/>
          </rPr>
          <t xml:space="preserve">
Includes:
Jib
Aux winch</t>
        </r>
      </text>
    </comment>
    <comment ref="C14" authorId="0" shapeId="0" xr:uid="{3F97C160-3401-4AB6-BAC3-08E2C8E87BEC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Curb to curb</t>
        </r>
      </text>
    </comment>
    <comment ref="C26" authorId="0" shapeId="0" xr:uid="{98302542-30F0-4096-90E4-3093636EC95F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How far the outriggers extend below grade (how high the tires can be lifted off of the ground(</t>
        </r>
      </text>
    </comment>
    <comment ref="C42" authorId="0" shapeId="0" xr:uid="{7BECDB71-77E5-4657-AECB-871646C8794B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based on rope strength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Frerking</author>
  </authors>
  <commentList>
    <comment ref="C3" authorId="0" shapeId="0" xr:uid="{49A54B67-1A0A-4CF0-AF60-EF2787183B6E}">
      <text>
        <r>
          <rPr>
            <b/>
            <sz val="9"/>
            <color indexed="81"/>
            <rFont val="Tahoma"/>
            <charset val="1"/>
          </rPr>
          <t>David Frerking:</t>
        </r>
        <r>
          <rPr>
            <sz val="9"/>
            <color indexed="81"/>
            <rFont val="Tahoma"/>
            <charset val="1"/>
          </rPr>
          <t xml:space="preserve">
Includes:
Jib
Aux winch</t>
        </r>
      </text>
    </comment>
    <comment ref="C14" authorId="0" shapeId="0" xr:uid="{CAD92988-0140-4ED1-B4E5-23291AFB286E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Curb to curb</t>
        </r>
      </text>
    </comment>
    <comment ref="C26" authorId="0" shapeId="0" xr:uid="{B455B4D2-A780-4700-841E-53DFC8C97B76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How far the outriggers extend below grade (how high the tires can be lifted off of the ground(</t>
        </r>
      </text>
    </comment>
    <comment ref="C42" authorId="0" shapeId="0" xr:uid="{0AC92724-F9A9-440E-9A67-7CB38409D364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based on rope strength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Frerking</author>
  </authors>
  <commentList>
    <comment ref="C3" authorId="0" shapeId="0" xr:uid="{490BA3AE-1E41-4791-B4C2-4D3446CC8DEE}">
      <text>
        <r>
          <rPr>
            <b/>
            <sz val="9"/>
            <color indexed="81"/>
            <rFont val="Tahoma"/>
            <charset val="1"/>
          </rPr>
          <t>David Frerking:</t>
        </r>
        <r>
          <rPr>
            <sz val="9"/>
            <color indexed="81"/>
            <rFont val="Tahoma"/>
            <charset val="1"/>
          </rPr>
          <t xml:space="preserve">
Includes:
Jib
Aux winch</t>
        </r>
      </text>
    </comment>
    <comment ref="C14" authorId="0" shapeId="0" xr:uid="{D36EB8BF-35DC-4E85-A02A-97DD1546AA26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Curb to curb</t>
        </r>
      </text>
    </comment>
    <comment ref="C26" authorId="0" shapeId="0" xr:uid="{7846C3CB-0C17-41F9-A540-5626C321D8F9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How far the outriggers extend below grade (how high the tires can be lifted off of the ground(</t>
        </r>
      </text>
    </comment>
    <comment ref="C42" authorId="0" shapeId="0" xr:uid="{CB69B461-7184-4CF8-9FCA-F84FE4167F5F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based on rope strength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Frerking</author>
  </authors>
  <commentList>
    <comment ref="C3" authorId="0" shapeId="0" xr:uid="{A2038BA2-BBC0-4727-B3DA-FB84A87BC3D3}">
      <text>
        <r>
          <rPr>
            <b/>
            <sz val="9"/>
            <color indexed="81"/>
            <rFont val="Tahoma"/>
            <charset val="1"/>
          </rPr>
          <t>David Frerking:</t>
        </r>
        <r>
          <rPr>
            <sz val="9"/>
            <color indexed="81"/>
            <rFont val="Tahoma"/>
            <charset val="1"/>
          </rPr>
          <t xml:space="preserve">
Includes:
Jib
Aux winch</t>
        </r>
      </text>
    </comment>
    <comment ref="C14" authorId="0" shapeId="0" xr:uid="{88D70286-C742-4B7B-B63A-EF03E765BA62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Curb to curb</t>
        </r>
      </text>
    </comment>
    <comment ref="C26" authorId="0" shapeId="0" xr:uid="{7FD0F10C-DBFC-4D1A-9F78-3ED9E71FE24D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How far the outriggers extend below grade (how high the tires can be lifted off of the ground(</t>
        </r>
      </text>
    </comment>
    <comment ref="C42" authorId="0" shapeId="0" xr:uid="{AD3FC307-C2B1-4D48-9A9C-2B24CDAFB31F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based on rope strength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Frerking</author>
  </authors>
  <commentList>
    <comment ref="C14" authorId="0" shapeId="0" xr:uid="{09A9AEAF-5EA7-4414-AB29-537F050B9E04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Curb to curb</t>
        </r>
      </text>
    </comment>
    <comment ref="C26" authorId="0" shapeId="0" xr:uid="{BD522082-88A3-4B8A-A5D0-137A52A1616D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How far the outriggers extend below grade (how high the tires can be lifted off of the ground(</t>
        </r>
      </text>
    </comment>
    <comment ref="C42" authorId="0" shapeId="0" xr:uid="{EFD6B885-DCE2-4970-A4D8-1F869FF9AA89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based on rope strength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Frerking</author>
  </authors>
  <commentList>
    <comment ref="C3" authorId="0" shapeId="0" xr:uid="{9C70BC35-C0DC-4683-AD45-8249E9679F94}">
      <text>
        <r>
          <rPr>
            <b/>
            <sz val="9"/>
            <color indexed="81"/>
            <rFont val="Tahoma"/>
            <charset val="1"/>
          </rPr>
          <t>David Frerking:</t>
        </r>
        <r>
          <rPr>
            <sz val="9"/>
            <color indexed="81"/>
            <rFont val="Tahoma"/>
            <charset val="1"/>
          </rPr>
          <t xml:space="preserve">
Includes:
Jib
Aux winch unless self removing
Hookblock
Overhaul ball</t>
        </r>
      </text>
    </comment>
    <comment ref="C7" authorId="0" shapeId="0" xr:uid="{A1D0A9AC-AD28-48BC-8992-7F3D1E93CF8F}">
      <text>
        <r>
          <rPr>
            <b/>
            <sz val="9"/>
            <color indexed="81"/>
            <rFont val="Tahoma"/>
            <charset val="1"/>
          </rPr>
          <t>David Frerking:</t>
        </r>
        <r>
          <rPr>
            <sz val="9"/>
            <color indexed="81"/>
            <rFont val="Tahoma"/>
            <charset val="1"/>
          </rPr>
          <t xml:space="preserve">
Not including dolly weight</t>
        </r>
      </text>
    </comment>
    <comment ref="C19" authorId="0" shapeId="0" xr:uid="{8659EE15-9D1A-412D-B4BA-F949011F30AB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Curb to curb</t>
        </r>
      </text>
    </comment>
    <comment ref="C31" authorId="0" shapeId="0" xr:uid="{349E07E2-85F0-42CE-92DE-CA38B433B7A7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How far the outriggers extend below grade (how high the tires can be lifted off of the ground(</t>
        </r>
      </text>
    </comment>
    <comment ref="C49" authorId="0" shapeId="0" xr:uid="{5052BC06-9B73-4F2D-90AA-BAB94EDF48CD}">
      <text>
        <r>
          <rPr>
            <b/>
            <sz val="9"/>
            <color indexed="81"/>
            <rFont val="Tahoma"/>
            <family val="2"/>
          </rPr>
          <t>David Frerking:</t>
        </r>
        <r>
          <rPr>
            <sz val="9"/>
            <color indexed="81"/>
            <rFont val="Tahoma"/>
            <family val="2"/>
          </rPr>
          <t xml:space="preserve">
based on rope strength</t>
        </r>
      </text>
    </comment>
  </commentList>
</comments>
</file>

<file path=xl/sharedStrings.xml><?xml version="1.0" encoding="utf-8"?>
<sst xmlns="http://schemas.openxmlformats.org/spreadsheetml/2006/main" count="3408" uniqueCount="747">
  <si>
    <t>kg</t>
  </si>
  <si>
    <t>mm</t>
  </si>
  <si>
    <t>/</t>
  </si>
  <si>
    <t>kW</t>
  </si>
  <si>
    <t>徐工
XE19U</t>
  </si>
  <si>
    <t>卡特
301.7 CR</t>
  </si>
  <si>
    <t>卡特
301.8</t>
  </si>
  <si>
    <t>迪尔
17P</t>
  </si>
  <si>
    <t>山猫
E20</t>
  </si>
  <si>
    <t>久保田
U17</t>
  </si>
  <si>
    <t>久保田
KX018</t>
  </si>
  <si>
    <t>沃尔沃
ECR18E</t>
  </si>
  <si>
    <t>现代
HX17</t>
  </si>
  <si>
    <t>斗山
DX17</t>
  </si>
  <si>
    <t>三一
SY18</t>
  </si>
  <si>
    <t>L/min</t>
  </si>
  <si>
    <t>MPa</t>
  </si>
  <si>
    <t>Mpa</t>
  </si>
  <si>
    <t>km/h</t>
  </si>
  <si>
    <t>kN</t>
  </si>
  <si>
    <t>kPa</t>
  </si>
  <si>
    <t>°</t>
  </si>
  <si>
    <t>rpm</t>
  </si>
  <si>
    <t>70/50</t>
  </si>
  <si>
    <t>电气系统</t>
  </si>
  <si>
    <t>2.8/4.9</t>
  </si>
  <si>
    <t>75/55</t>
  </si>
  <si>
    <t>配置</t>
  </si>
  <si>
    <t>经济模式</t>
  </si>
  <si>
    <t>卸油管路</t>
  </si>
  <si>
    <t>无，楔式快换</t>
  </si>
  <si>
    <t>可伸缩底盘</t>
  </si>
  <si>
    <t>2.6/4.7</t>
  </si>
  <si>
    <t>2.6/4.4</t>
  </si>
  <si>
    <t>2.4/4.4</t>
  </si>
  <si>
    <t>AUX3管路</t>
  </si>
  <si>
    <t>密码启动</t>
  </si>
  <si>
    <t>后视摄像头</t>
  </si>
  <si>
    <t>70/53</t>
  </si>
  <si>
    <t>70/55</t>
  </si>
  <si>
    <t>冷启动</t>
  </si>
  <si>
    <t>工作灯延迟关闭</t>
  </si>
  <si>
    <t>ROPS/OPG</t>
  </si>
  <si>
    <t>温度</t>
  </si>
  <si>
    <t>可达性</t>
  </si>
  <si>
    <t>整机外观涂装</t>
  </si>
  <si>
    <t>XCMG XE55U</t>
  </si>
  <si>
    <t>卡特 305CR</t>
  </si>
  <si>
    <t>迪尔 50P</t>
  </si>
  <si>
    <t>山猫 E55</t>
  </si>
  <si>
    <t>久保田 U55</t>
  </si>
  <si>
    <t>久保田 KX057</t>
  </si>
  <si>
    <t>沃尔沃 ECR50</t>
  </si>
  <si>
    <t>现代 HX55ACR</t>
  </si>
  <si>
    <t>斗山 DX55R-7</t>
  </si>
  <si>
    <t>三一 SY55U</t>
  </si>
  <si>
    <t>5600/5700</t>
  </si>
  <si>
    <t>4996-5754</t>
  </si>
  <si>
    <t>4790-5557</t>
  </si>
  <si>
    <t>5151/5386</t>
  </si>
  <si>
    <t>5555-5995</t>
  </si>
  <si>
    <t>5600-6050</t>
  </si>
  <si>
    <t>4940-5697</t>
  </si>
  <si>
    <t>徐工
XE55U</t>
  </si>
  <si>
    <t>卡特
305 CR</t>
  </si>
  <si>
    <t>迪尔
50P</t>
  </si>
  <si>
    <t>山猫
E55</t>
  </si>
  <si>
    <t>久保田
U55</t>
  </si>
  <si>
    <t>久保田
KX057</t>
  </si>
  <si>
    <t>沃尔沃
ECR50</t>
  </si>
  <si>
    <t>现代
HX55</t>
  </si>
  <si>
    <t>斗山
DX55</t>
  </si>
  <si>
    <t>三一
SY55</t>
  </si>
  <si>
    <t>2x56.1+37</t>
  </si>
  <si>
    <t>2x56.1+38</t>
  </si>
  <si>
    <t>2.8/4.6</t>
  </si>
  <si>
    <t>2.8/5</t>
  </si>
  <si>
    <t>2.5/4.2</t>
  </si>
  <si>
    <t>2.8/4.5</t>
  </si>
  <si>
    <t>2.8/4.8</t>
  </si>
  <si>
    <t>2.7/4.4</t>
  </si>
  <si>
    <t>2.7/4</t>
  </si>
  <si>
    <t>27.3-32.2</t>
  </si>
  <si>
    <t>26.9-29.5</t>
  </si>
  <si>
    <t>31.7-33.1</t>
  </si>
  <si>
    <t>31.7-33.8</t>
  </si>
  <si>
    <t>72/50</t>
  </si>
  <si>
    <t>80/60</t>
  </si>
  <si>
    <t>60/53</t>
  </si>
  <si>
    <t>242kg</t>
  </si>
  <si>
    <t>200kg</t>
  </si>
  <si>
    <t>170kg</t>
  </si>
  <si>
    <t>XCMG 待研发</t>
  </si>
  <si>
    <t>卡特 306 CR</t>
  </si>
  <si>
    <t>迪尔 60P</t>
  </si>
  <si>
    <t>山猫 E60</t>
  </si>
  <si>
    <t>沃尔沃 EC60E</t>
  </si>
  <si>
    <t>沃尔沃 EC65</t>
  </si>
  <si>
    <t>现代 HX60A</t>
  </si>
  <si>
    <t>斗山 DX63-7</t>
  </si>
  <si>
    <t>三一 SY60C</t>
  </si>
  <si>
    <t>5877-6099</t>
  </si>
  <si>
    <t>5600-6800</t>
  </si>
  <si>
    <t>121+35.2</t>
  </si>
  <si>
    <t>121+35.6</t>
  </si>
  <si>
    <t>80/50</t>
  </si>
  <si>
    <t>油缸缓冲</t>
  </si>
  <si>
    <t>AUX流量调节</t>
  </si>
  <si>
    <t>动臂偏摆控制</t>
  </si>
  <si>
    <t>电气及技术</t>
  </si>
  <si>
    <t>驾驶室版自动冷暖空调</t>
  </si>
  <si>
    <t>电气系统及技术</t>
  </si>
  <si>
    <t>履带</t>
  </si>
  <si>
    <t>燃油泵</t>
  </si>
  <si>
    <t>辅助动作</t>
  </si>
  <si>
    <t>3.1/5.1</t>
  </si>
  <si>
    <t>电子栅栏</t>
  </si>
  <si>
    <t>★ ★ ★</t>
  </si>
  <si>
    <t>★ ★</t>
  </si>
  <si>
    <t>★</t>
  </si>
  <si>
    <t xml:space="preserve">★ ★ </t>
  </si>
  <si>
    <t>全电控</t>
  </si>
  <si>
    <t>增压压力</t>
  </si>
  <si>
    <t>-</t>
  </si>
  <si>
    <t>3.1/5.5</t>
  </si>
  <si>
    <t>机油采样口</t>
  </si>
  <si>
    <t>功率模式</t>
  </si>
  <si>
    <t>Power/Smart/Eco</t>
  </si>
  <si>
    <t>H/S/Eco</t>
  </si>
  <si>
    <t>液压油自动预热</t>
  </si>
  <si>
    <t>液压油采样口</t>
  </si>
  <si>
    <t>自动双速</t>
  </si>
  <si>
    <t>单脚踏行驶</t>
  </si>
  <si>
    <t>动臂斗杆缓冲阀</t>
  </si>
  <si>
    <t>动臂浮动</t>
  </si>
  <si>
    <t>动作优先功能</t>
  </si>
  <si>
    <t>破碎锤自动停止</t>
  </si>
  <si>
    <t>遮阳</t>
  </si>
  <si>
    <t>遮雨棚</t>
  </si>
  <si>
    <t>智能称重</t>
  </si>
  <si>
    <t>远程操控</t>
  </si>
  <si>
    <t>障碍物检测</t>
  </si>
  <si>
    <t>m</t>
  </si>
  <si>
    <t>配重</t>
  </si>
  <si>
    <t>正流量</t>
  </si>
  <si>
    <t>电风扇</t>
  </si>
  <si>
    <t>风扇反向</t>
  </si>
  <si>
    <t>P+/P/S/E</t>
  </si>
  <si>
    <t>蠕行模式</t>
  </si>
  <si>
    <t>无线充电</t>
  </si>
  <si>
    <t>后视镜加热</t>
  </si>
  <si>
    <t>m³</t>
  </si>
  <si>
    <t>3/5.5</t>
  </si>
  <si>
    <t>自动润滑</t>
  </si>
  <si>
    <t>Komtrax</t>
  </si>
  <si>
    <t>KOMEXS</t>
  </si>
  <si>
    <t>700/800/900</t>
  </si>
  <si>
    <t>3.4/5.2</t>
  </si>
  <si>
    <t>3.2/5.4</t>
  </si>
  <si>
    <t>仪表</t>
  </si>
  <si>
    <t>座椅</t>
  </si>
  <si>
    <t>8英寸触屏</t>
  </si>
  <si>
    <t>摄像头</t>
  </si>
  <si>
    <t>夹轨器</t>
  </si>
  <si>
    <t xml:space="preserve">★ ★ ★ </t>
  </si>
  <si>
    <t>驾驶室顶防护</t>
  </si>
  <si>
    <t>驾驶室前防护</t>
  </si>
  <si>
    <t>信标灯</t>
  </si>
  <si>
    <t>后视镜</t>
  </si>
  <si>
    <t>扶手</t>
  </si>
  <si>
    <t>上车防滑贴</t>
  </si>
  <si>
    <t>防爆阀</t>
  </si>
  <si>
    <t xml:space="preserve">★ </t>
  </si>
  <si>
    <t>急停开关</t>
  </si>
  <si>
    <t>安全标识</t>
  </si>
  <si>
    <t>安全描述</t>
  </si>
  <si>
    <t>液压油预热</t>
  </si>
  <si>
    <t>湿度</t>
  </si>
  <si>
    <t>高原</t>
  </si>
  <si>
    <t>盐雾</t>
  </si>
  <si>
    <t>沙尘</t>
  </si>
  <si>
    <t>紧固件防锈性</t>
  </si>
  <si>
    <t>薄板件油漆耐久性</t>
  </si>
  <si>
    <t>橡胶件耐久性</t>
  </si>
  <si>
    <t>手柄空行程</t>
  </si>
  <si>
    <t>手柄线性度</t>
  </si>
  <si>
    <t>手柄拨轮空行程</t>
  </si>
  <si>
    <t>手柄拨轮线性度</t>
  </si>
  <si>
    <t>作业精准性</t>
  </si>
  <si>
    <t>作业微动性</t>
  </si>
  <si>
    <t>作业响应性</t>
  </si>
  <si>
    <t>作业平顺性</t>
  </si>
  <si>
    <t>缓冲性</t>
  </si>
  <si>
    <t>挖掘装车动作协调性</t>
  </si>
  <si>
    <t>平地操作协调性</t>
  </si>
  <si>
    <t>驾驶室密封性</t>
  </si>
  <si>
    <t>空调性能</t>
  </si>
  <si>
    <t>操纵装置可及性</t>
  </si>
  <si>
    <t>操纵装置可视性</t>
  </si>
  <si>
    <t>交互界面友好性</t>
  </si>
  <si>
    <t>交互响应及时性</t>
  </si>
  <si>
    <t>操作件易识别性</t>
  </si>
  <si>
    <t>上下车便利性</t>
  </si>
  <si>
    <t>视野</t>
  </si>
  <si>
    <t>可拆卸性</t>
  </si>
  <si>
    <t>可检测性</t>
  </si>
  <si>
    <t>可调整性</t>
  </si>
  <si>
    <t>细节品质</t>
  </si>
  <si>
    <t>整机外观造型</t>
  </si>
  <si>
    <t>液压管路布置</t>
  </si>
  <si>
    <t>电气线束布置</t>
  </si>
  <si>
    <t>润滑管路布置</t>
  </si>
  <si>
    <t>空调管路布置</t>
  </si>
  <si>
    <t>软文资料</t>
  </si>
  <si>
    <t>售前文件</t>
  </si>
  <si>
    <t>售后文件</t>
  </si>
  <si>
    <t>气悬浮加热</t>
  </si>
  <si>
    <t>10英寸触屏</t>
  </si>
  <si>
    <t>10英寸</t>
  </si>
  <si>
    <t>8英寸</t>
  </si>
  <si>
    <t>JDLink</t>
  </si>
  <si>
    <t>600/700/800</t>
  </si>
  <si>
    <t>XCMG XE490U</t>
  </si>
  <si>
    <t>卡特 352</t>
  </si>
  <si>
    <t>迪尔 510P</t>
  </si>
  <si>
    <t>小松 PC490LC-11</t>
  </si>
  <si>
    <t>神钢 SK520LC-11</t>
  </si>
  <si>
    <t>沃尔沃 EC500</t>
  </si>
  <si>
    <t>现代 HX520AL</t>
  </si>
  <si>
    <t>斗山 DX490LC-7</t>
  </si>
  <si>
    <t>三一 SY500H</t>
  </si>
  <si>
    <t>50200-53200</t>
  </si>
  <si>
    <t>47930-49995</t>
  </si>
  <si>
    <t>49000-52300</t>
  </si>
  <si>
    <t>53092-55192</t>
  </si>
  <si>
    <t>3540-3790</t>
  </si>
  <si>
    <t>3290-3790</t>
  </si>
  <si>
    <t>3280-3840</t>
  </si>
  <si>
    <t>3370-3870</t>
  </si>
  <si>
    <t>2390-2890</t>
  </si>
  <si>
    <t>2380-2940</t>
  </si>
  <si>
    <t>2470-2970</t>
  </si>
  <si>
    <t>徐工
XE490U</t>
  </si>
  <si>
    <t>卡特
352</t>
  </si>
  <si>
    <t>迪尔
510P</t>
  </si>
  <si>
    <t>小松
PC490</t>
  </si>
  <si>
    <t>神钢
SK520</t>
  </si>
  <si>
    <t>沃尔沃
EC500</t>
  </si>
  <si>
    <t>现代
HX520</t>
  </si>
  <si>
    <t>斗山
DX490</t>
  </si>
  <si>
    <t>三一
SY500H</t>
  </si>
  <si>
    <t>360x2</t>
  </si>
  <si>
    <t>389x2</t>
  </si>
  <si>
    <t>400x2</t>
  </si>
  <si>
    <t>390x2</t>
  </si>
  <si>
    <t>370x2</t>
  </si>
  <si>
    <t>376x2</t>
  </si>
  <si>
    <t>394x2</t>
  </si>
  <si>
    <t>/4.8</t>
  </si>
  <si>
    <t>3.9/5.5</t>
  </si>
  <si>
    <t>3.3/5.3</t>
  </si>
  <si>
    <t>60.7-71.9</t>
  </si>
  <si>
    <t>56.5-72.9</t>
  </si>
  <si>
    <t>60.5-88.9</t>
  </si>
  <si>
    <t>60-62</t>
  </si>
  <si>
    <t>x3</t>
  </si>
  <si>
    <t>机械/气悬浮加热</t>
  </si>
  <si>
    <t>7英寸</t>
  </si>
  <si>
    <t>8英寸
12.8英寸智控屏</t>
  </si>
  <si>
    <t>Product Link/
Vision Link</t>
  </si>
  <si>
    <t>Hi-Mate</t>
  </si>
  <si>
    <t>Doosan Fleet Management</t>
  </si>
  <si>
    <t>6.55/6.9/7.4</t>
  </si>
  <si>
    <t>2.5/2.9/3/3.35/3.9/4.3</t>
  </si>
  <si>
    <t>3.4/3.9</t>
  </si>
  <si>
    <t>3.38/4/4.8</t>
  </si>
  <si>
    <t>3.45/4.04/4.9</t>
  </si>
  <si>
    <t>3.35/3.98</t>
  </si>
  <si>
    <t>600/750/900</t>
  </si>
  <si>
    <t>750/900</t>
  </si>
  <si>
    <t>600/700/800/900</t>
  </si>
  <si>
    <t>600/700/
800/900</t>
  </si>
  <si>
    <t>600/750/
800/900</t>
  </si>
  <si>
    <t>全覆盖/中间段</t>
  </si>
  <si>
    <t>8600/9000，可拆卸</t>
  </si>
  <si>
    <t>可拆卸</t>
  </si>
  <si>
    <t>11100
可拆卸式</t>
  </si>
  <si>
    <t>可拆卸 9700</t>
  </si>
  <si>
    <t>1.47-2.82</t>
  </si>
  <si>
    <t>1~2</t>
  </si>
  <si>
    <t>2~3</t>
  </si>
  <si>
    <t>3~4</t>
  </si>
  <si>
    <t>4~5</t>
  </si>
  <si>
    <t>5~6</t>
  </si>
  <si>
    <t>8~10</t>
  </si>
  <si>
    <t>14~16</t>
  </si>
  <si>
    <t>24~28</t>
  </si>
  <si>
    <t>33~40</t>
  </si>
  <si>
    <t>12~14</t>
  </si>
  <si>
    <t>21~24</t>
  </si>
  <si>
    <t>28~33</t>
  </si>
  <si>
    <t>40~60</t>
  </si>
  <si>
    <t>XCMG</t>
  </si>
  <si>
    <t>CAT</t>
  </si>
  <si>
    <t>DEERE</t>
  </si>
  <si>
    <t>BOBCAT</t>
  </si>
  <si>
    <t>KOMATSU</t>
  </si>
  <si>
    <t>KUBOTA</t>
  </si>
  <si>
    <t>KOBELCO</t>
  </si>
  <si>
    <t>VOLVO</t>
  </si>
  <si>
    <t>HYUNDAI</t>
  </si>
  <si>
    <t>DEVELON</t>
  </si>
  <si>
    <t>SANY</t>
  </si>
  <si>
    <t>Category</t>
  </si>
  <si>
    <t>Subcategory</t>
  </si>
  <si>
    <t>Parameter</t>
  </si>
  <si>
    <t>Unit</t>
  </si>
  <si>
    <t>Score</t>
  </si>
  <si>
    <t>Scoring: Industry avg=3, Below avg=1, Leading=5, Calculate avg per category</t>
  </si>
  <si>
    <t>Parameter Comparison</t>
  </si>
  <si>
    <t>Transport Parameters</t>
  </si>
  <si>
    <t>Operating Weight</t>
  </si>
  <si>
    <t>Lighter weight, smaller size = higher score, reduces transport cost</t>
  </si>
  <si>
    <t>Transport Width</t>
  </si>
  <si>
    <t>Ground Parameters</t>
  </si>
  <si>
    <t>Longer/wider ground contact = higher score, improves stability</t>
  </si>
  <si>
    <t>Transport Height</t>
  </si>
  <si>
    <t>Working Parameters</t>
  </si>
  <si>
    <t>Larger dig range = higher score, tail radius considers short-tail &amp; counterweight</t>
  </si>
  <si>
    <t>Transport Length</t>
  </si>
  <si>
    <t>Power</t>
  </si>
  <si>
    <t>Higher engine power = higher score</t>
  </si>
  <si>
    <t>Track Gauge</t>
  </si>
  <si>
    <t>Hydraulic System</t>
  </si>
  <si>
    <t>Higher flow/pressure = higher score</t>
  </si>
  <si>
    <t>Wheelbase</t>
  </si>
  <si>
    <t>Travel</t>
  </si>
  <si>
    <t>Faster speed, higher traction, lower ground pressure = higher score</t>
  </si>
  <si>
    <t>Track Length</t>
  </si>
  <si>
    <t>Swing</t>
  </si>
  <si>
    <t>Faster swing, larger boom swing range = higher score</t>
  </si>
  <si>
    <t>Track Width</t>
  </si>
  <si>
    <t>Digging Force</t>
  </si>
  <si>
    <t>Higher digging force = higher score</t>
  </si>
  <si>
    <t>Max Dig Height</t>
  </si>
  <si>
    <t>Lifting Capacity</t>
  </si>
  <si>
    <t>Higher lifting capacity = higher score</t>
  </si>
  <si>
    <t>Max Dump Height</t>
  </si>
  <si>
    <t>Config scoring: None=0, Optional=1, Standard=3, Special/highlight=5, Calculate avg</t>
  </si>
  <si>
    <t>Max Dig Depth</t>
  </si>
  <si>
    <t>Engine</t>
  </si>
  <si>
    <t>Engine configs incl. idle function, power modes, etc.</t>
  </si>
  <si>
    <t>Max Dig Radius</t>
  </si>
  <si>
    <t>Hydraulic configs incl. control tech, line configs, etc.</t>
  </si>
  <si>
    <t>Max Ground Dig Radius</t>
  </si>
  <si>
    <t>Operator Environment</t>
  </si>
  <si>
    <t>Cab configs incl. seat, protection, gauges, functions, etc.</t>
  </si>
  <si>
    <t>Tail Swing Radius</t>
  </si>
  <si>
    <t>Electrical Technology</t>
  </si>
  <si>
    <t>Electrical (lights, alarms) &amp; smart control configs</t>
  </si>
  <si>
    <t>Engine Gross Power</t>
  </si>
  <si>
    <t>Attachment &amp; Chassis</t>
  </si>
  <si>
    <t>Boom, bucket, blade, chassis &amp; related attachment configs</t>
  </si>
  <si>
    <t>Engine Net Power</t>
  </si>
  <si>
    <t>Working Equipment</t>
  </si>
  <si>
    <t>Standard Arm</t>
  </si>
  <si>
    <t>Standard Boom</t>
  </si>
  <si>
    <t>Type</t>
  </si>
  <si>
    <t>Load Sensing</t>
  </si>
  <si>
    <t>Triple Pump</t>
  </si>
  <si>
    <t>Closed Load Sensing</t>
  </si>
  <si>
    <t>System Flow</t>
  </si>
  <si>
    <t>Working Pressure</t>
  </si>
  <si>
    <t>Travel Pressure</t>
  </si>
  <si>
    <t>Working Range</t>
  </si>
  <si>
    <t>Swing Pressure</t>
  </si>
  <si>
    <t>AUX1 Flow</t>
  </si>
  <si>
    <t>AUX1 Pressure</t>
  </si>
  <si>
    <t>AUX2 Flow</t>
  </si>
  <si>
    <t>AUX2 Pressure</t>
  </si>
  <si>
    <t>Travel Speed (Low/High)</t>
  </si>
  <si>
    <t>Max Tractive Force</t>
  </si>
  <si>
    <t>Overall</t>
  </si>
  <si>
    <t>Ground Pressure</t>
  </si>
  <si>
    <t>Gradeability</t>
  </si>
  <si>
    <t>Swing Speed</t>
  </si>
  <si>
    <t>Bucket Dig Force</t>
  </si>
  <si>
    <t>Arm Dig Force</t>
  </si>
  <si>
    <t>Standard/Optional Config</t>
  </si>
  <si>
    <t>Auto Idle</t>
  </si>
  <si>
    <t>Standard</t>
  </si>
  <si>
    <t>Optional</t>
  </si>
  <si>
    <t>Auto Shutdown</t>
  </si>
  <si>
    <t>Joystick Travel</t>
  </si>
  <si>
    <t>Boom/Arm Holding Valve</t>
  </si>
  <si>
    <t>AUX1 Lines</t>
  </si>
  <si>
    <t>AUX1 Control Valve</t>
  </si>
  <si>
    <t>AUX2 Lines</t>
  </si>
  <si>
    <t>Quick Coupler Lines</t>
  </si>
  <si>
    <t>One-Touch Start</t>
  </si>
  <si>
    <t>USB Power</t>
  </si>
  <si>
    <t>Bluetooth Radio</t>
  </si>
  <si>
    <t>Suspension Seat</t>
  </si>
  <si>
    <t>Phone Holder</t>
  </si>
  <si>
    <t>Warning Light</t>
  </si>
  <si>
    <t>Travel Alarm</t>
  </si>
  <si>
    <t>Blade Float</t>
  </si>
  <si>
    <t>Counterweight</t>
  </si>
  <si>
    <t>Six Characteristics</t>
  </si>
  <si>
    <t>Safety</t>
  </si>
  <si>
    <t>Adaptability</t>
  </si>
  <si>
    <t>Controllability</t>
  </si>
  <si>
    <t>Serviceability</t>
  </si>
  <si>
    <t>Economy</t>
  </si>
  <si>
    <t>Comfort</t>
  </si>
  <si>
    <t>Scoring: Industry avg=3, Below avg=1, Leading=5</t>
  </si>
  <si>
    <t>Lighter/smaller = higher score</t>
  </si>
  <si>
    <t>Longer/wider ground = higher score</t>
  </si>
  <si>
    <t>Larger dig range = higher score</t>
  </si>
  <si>
    <t>Higher power = higher score</t>
  </si>
  <si>
    <t>Faster/higher traction = higher score</t>
  </si>
  <si>
    <t>Faster swing = higher score</t>
  </si>
  <si>
    <t>Higher dig force = higher score</t>
  </si>
  <si>
    <t>Higher lift = higher score</t>
  </si>
  <si>
    <t>Config: None=0, Opt=1, Std=3, Special=5</t>
  </si>
  <si>
    <t>Engine config (idle, power modes)</t>
  </si>
  <si>
    <t>Hydraulic config (control, lines)</t>
  </si>
  <si>
    <t>Cab config (seat, gauges)</t>
  </si>
  <si>
    <t>Electrical &amp; smart control config</t>
  </si>
  <si>
    <t>Boom/bucket/blade/chassis config</t>
  </si>
  <si>
    <t>Optional斗杆</t>
  </si>
  <si>
    <t>Boom Swing (L/R)</t>
  </si>
  <si>
    <t>地面正前方3m远处Lifting Capacity（放下Blade）</t>
  </si>
  <si>
    <t>地面正前方3m远处Lifting Capacity（抬起Blade）</t>
  </si>
  <si>
    <t>地面侧方3m远处Lifting Capacity</t>
  </si>
  <si>
    <t>Telematics</t>
  </si>
  <si>
    <t>Long Arm</t>
  </si>
  <si>
    <t>Blade偏摆</t>
  </si>
  <si>
    <t>坡度系统</t>
  </si>
  <si>
    <t>驾驶室版Optional
2D/3D</t>
  </si>
  <si>
    <t>Optional2D</t>
  </si>
  <si>
    <t>Optional缸体加热器</t>
  </si>
  <si>
    <t>气Suspension Seat</t>
  </si>
  <si>
    <t>Optional2D/3D</t>
  </si>
  <si>
    <t>Travel跑偏量</t>
  </si>
  <si>
    <t>使用Economy</t>
  </si>
  <si>
    <t>1095/1200
（Counterweight）</t>
  </si>
  <si>
    <t>1000/1100
（Counterweight）</t>
  </si>
  <si>
    <t>951/1032
（Counterweight）</t>
  </si>
  <si>
    <t>Optional气悬浮</t>
  </si>
  <si>
    <t>Standard1600mm
Optional1900mm</t>
  </si>
  <si>
    <t>Optional1601mm</t>
  </si>
  <si>
    <t>Optional1690mm</t>
  </si>
  <si>
    <t>Optional1800mm</t>
  </si>
  <si>
    <t>Standard1650mm</t>
  </si>
  <si>
    <t>负流量+
独立Swing泵</t>
  </si>
  <si>
    <t>12V电源</t>
  </si>
  <si>
    <t>安全带</t>
  </si>
  <si>
    <t>仪表显示器</t>
  </si>
  <si>
    <t>前下防护</t>
  </si>
  <si>
    <t>前防护</t>
  </si>
  <si>
    <t>顶防护</t>
  </si>
  <si>
    <t>倾翻防护</t>
  </si>
  <si>
    <t>工作灯配置</t>
  </si>
  <si>
    <t>动臂</t>
  </si>
  <si>
    <t>斗杆</t>
  </si>
  <si>
    <t>铲斗</t>
  </si>
  <si>
    <t>Swing力矩</t>
  </si>
  <si>
    <t>Customer Interest</t>
  </si>
  <si>
    <t>Faster swing/higher torque = higher score</t>
  </si>
  <si>
    <t>Optional动臂</t>
  </si>
  <si>
    <t>精准Swing</t>
  </si>
  <si>
    <t>Swing报警</t>
  </si>
  <si>
    <t>Standard270°</t>
  </si>
  <si>
    <t>Standard2D</t>
  </si>
  <si>
    <t>地面正前方6m远处Lifting Capacity</t>
  </si>
  <si>
    <t>地面侧方6m远处Lifting Capacity</t>
  </si>
  <si>
    <t>Optional2D/3D及激光捕捉</t>
  </si>
  <si>
    <t>Standard后视
Optional360°</t>
  </si>
  <si>
    <t>环境Adaptability</t>
  </si>
  <si>
    <t>Travel启动Controllability</t>
  </si>
  <si>
    <t>Travel制动Controllability</t>
  </si>
  <si>
    <t>Travel转向Controllability</t>
  </si>
  <si>
    <t>Swing复合动臂动作协调性</t>
  </si>
  <si>
    <t>驾驶室空间Comfort</t>
  </si>
  <si>
    <t>座椅Comfort</t>
  </si>
  <si>
    <t>人体姿态Comfort</t>
  </si>
  <si>
    <t>振动Comfort</t>
  </si>
  <si>
    <t>空间Comfort</t>
  </si>
  <si>
    <t>操纵力Comfort</t>
  </si>
  <si>
    <t>保养Economy</t>
  </si>
  <si>
    <t>Power管路布置</t>
  </si>
  <si>
    <t>气悬浮加热
Optional通风</t>
  </si>
  <si>
    <t>Standard右视+后视
Optional360°</t>
  </si>
  <si>
    <t>Standard-18℃
Optional-32℃，缸体加热器</t>
  </si>
  <si>
    <t>Standard3种</t>
  </si>
  <si>
    <t>气悬浮加热
Optional带通风</t>
  </si>
  <si>
    <t>Standard Boomx2，驾驶室x2LED</t>
  </si>
  <si>
    <t>Standard Boomx2，驾驶室LED</t>
  </si>
  <si>
    <t>Standard Boomx2，机身x1，驾驶室x3，配重x1，左右各x1LED</t>
  </si>
  <si>
    <t>Standard Boomx2</t>
  </si>
  <si>
    <t>Standard Boomx2，驾驶室x2，配重x2，前右x1LED</t>
  </si>
  <si>
    <t>Standard Boomx4，前x2
OptionalLED</t>
  </si>
  <si>
    <t>Standard机身x2，动臂x2
Optional驾驶室x6，前x4，后x2卤素灯</t>
  </si>
  <si>
    <t>Standard Boomx2，驾驶室x2，右x1LED</t>
  </si>
  <si>
    <t>Standard右视+后视</t>
  </si>
  <si>
    <t>Standard后视+右视
Optional360°</t>
  </si>
  <si>
    <t>Standard后视</t>
  </si>
  <si>
    <t>Standard2D
Optional3D/激光捕捉</t>
  </si>
  <si>
    <t>Standard7
Optional6.5/7.4</t>
  </si>
  <si>
    <t>Standard7.06
Optional6.15/
9超长臂</t>
  </si>
  <si>
    <t>Standard3.35
Optional2.55/3/3.9/4.3</t>
  </si>
  <si>
    <t>Standard3.38
Optional2.4/2.55/2.9/4
6超Long Arm</t>
  </si>
  <si>
    <t>Standard 9573
Optional 可拆卸 9573
Optional 11500</t>
  </si>
  <si>
    <t>Standard9800
Optional可拆卸</t>
  </si>
  <si>
    <t>10250
Optional可拆卸式</t>
  </si>
  <si>
    <t>XCMG XCR165U</t>
  </si>
  <si>
    <t>Grove GRT9165</t>
  </si>
  <si>
    <t>Linkbelt RTC80160</t>
  </si>
  <si>
    <t>Terex</t>
  </si>
  <si>
    <t>Zoomlion</t>
  </si>
  <si>
    <t>Sany</t>
  </si>
  <si>
    <t>Retracted Boom Length</t>
  </si>
  <si>
    <t>Extended Boom Length</t>
  </si>
  <si>
    <t>Max jib carried on crane</t>
  </si>
  <si>
    <t>Jib extensions</t>
  </si>
  <si>
    <t>Tail swing radius</t>
  </si>
  <si>
    <t>Minimum transport weight</t>
  </si>
  <si>
    <t>Speed</t>
  </si>
  <si>
    <t>kph</t>
  </si>
  <si>
    <t>Number of steering modes</t>
  </si>
  <si>
    <t>Front approach angle</t>
  </si>
  <si>
    <t>Rear approach angle</t>
  </si>
  <si>
    <t>Outrigger penetration</t>
  </si>
  <si>
    <t>Full outrigger extension</t>
  </si>
  <si>
    <t>Engine Torque</t>
  </si>
  <si>
    <t>Engine Power</t>
  </si>
  <si>
    <t>Tire size</t>
  </si>
  <si>
    <t>Main winch max line pull</t>
  </si>
  <si>
    <t>Aux winch max line pull</t>
  </si>
  <si>
    <t>Forward speeds</t>
  </si>
  <si>
    <t>Reverse speeds</t>
  </si>
  <si>
    <t>Nm</t>
  </si>
  <si>
    <t>Interaxle lock</t>
  </si>
  <si>
    <t>Y/N</t>
  </si>
  <si>
    <t>Axle diff locks</t>
  </si>
  <si>
    <t>Lifting performance</t>
  </si>
  <si>
    <t>Maximum capacity W/O special equipment</t>
  </si>
  <si>
    <t>Main boom @ 10m</t>
  </si>
  <si>
    <t>Main boom @ 25m</t>
  </si>
  <si>
    <t>Main boom @ 50m</t>
  </si>
  <si>
    <t>Pick and carry @ 5m</t>
  </si>
  <si>
    <t>Jib offset angles</t>
  </si>
  <si>
    <t>Luffing jib</t>
  </si>
  <si>
    <t>Removable CWT</t>
  </si>
  <si>
    <t>Number of CWT configurations</t>
  </si>
  <si>
    <t>Speed with max CWT</t>
  </si>
  <si>
    <t>Price</t>
  </si>
  <si>
    <t>USD</t>
  </si>
  <si>
    <t>Dealer cost</t>
  </si>
  <si>
    <t>Jib W/O inserts @ 25m</t>
  </si>
  <si>
    <t>Jib W/O inserts @ 50m</t>
  </si>
  <si>
    <t>Jib W/O inserts max radius</t>
  </si>
  <si>
    <t>deg</t>
  </si>
  <si>
    <t>sec</t>
  </si>
  <si>
    <t>Boom raise speed</t>
  </si>
  <si>
    <t>Boom extend speed</t>
  </si>
  <si>
    <t>Main boom max rated radius</t>
  </si>
  <si>
    <t>Speeds</t>
  </si>
  <si>
    <t>Main winch max speed</t>
  </si>
  <si>
    <t>Aux winch max speed</t>
  </si>
  <si>
    <t>Auto Lubrication system</t>
  </si>
  <si>
    <t>Fuel engine heater</t>
  </si>
  <si>
    <t>Standard package, full CWT, aux winch, Jib W/O inserts</t>
  </si>
  <si>
    <t>Tires</t>
  </si>
  <si>
    <t>%</t>
  </si>
  <si>
    <t>Cummins B6.7</t>
  </si>
  <si>
    <t>Cummins QSL8.9</t>
  </si>
  <si>
    <t>26.5R25</t>
  </si>
  <si>
    <t>26.5-25</t>
  </si>
  <si>
    <t>23.5R25</t>
  </si>
  <si>
    <t>Outriggers</t>
  </si>
  <si>
    <t>Boom and jib</t>
  </si>
  <si>
    <t>Y</t>
  </si>
  <si>
    <t>5-40</t>
  </si>
  <si>
    <t>2 @ 7m each</t>
  </si>
  <si>
    <t>Short Jib</t>
  </si>
  <si>
    <t>3.68m</t>
  </si>
  <si>
    <t>Transmission</t>
  </si>
  <si>
    <t>Fuel tank</t>
  </si>
  <si>
    <t>l</t>
  </si>
  <si>
    <t>Cummins QSB6.7</t>
  </si>
  <si>
    <t>Tadano
GR-1600XL</t>
  </si>
  <si>
    <t>Number of axles</t>
  </si>
  <si>
    <t>Number of drive axles</t>
  </si>
  <si>
    <t>Number of steering axles</t>
  </si>
  <si>
    <t>N</t>
  </si>
  <si>
    <t>Automatic</t>
  </si>
  <si>
    <t>Cab tilt</t>
  </si>
  <si>
    <t>0-15</t>
  </si>
  <si>
    <t>Tow hooks</t>
  </si>
  <si>
    <t>front and rear</t>
  </si>
  <si>
    <t>Main boom @ max radius</t>
  </si>
  <si>
    <t>On tires @ 3m over front</t>
  </si>
  <si>
    <t>On tires @ 10m over front</t>
  </si>
  <si>
    <t>Number of outrigger extensions</t>
  </si>
  <si>
    <t>Liebherr</t>
  </si>
  <si>
    <t>Minimum turning radius</t>
  </si>
  <si>
    <t>Gradability</t>
  </si>
  <si>
    <t>Asymmetric outrigger operation</t>
  </si>
  <si>
    <t>Winches</t>
  </si>
  <si>
    <t>0-20</t>
  </si>
  <si>
    <t>Y, 0-50deg</t>
  </si>
  <si>
    <t>fixed: 0, 15, 30</t>
  </si>
  <si>
    <t>8m</t>
  </si>
  <si>
    <t>opt, rear</t>
  </si>
  <si>
    <t>Cold weather package</t>
  </si>
  <si>
    <t>opt, -40degC</t>
  </si>
  <si>
    <t>Greasless boom</t>
  </si>
  <si>
    <t>yes</t>
  </si>
  <si>
    <t>Hydrostatic</t>
  </si>
  <si>
    <t>infinite</t>
  </si>
  <si>
    <t>3 @ 5.5m each</t>
  </si>
  <si>
    <t>fixed 2, 15, 30, 45</t>
  </si>
  <si>
    <t>y, 2-45deg</t>
  </si>
  <si>
    <t>360deg house lock</t>
  </si>
  <si>
    <t>opt</t>
  </si>
  <si>
    <t>m/min</t>
  </si>
  <si>
    <t>0-32 depending on CWT</t>
  </si>
  <si>
    <t>XCMG XCR100U</t>
  </si>
  <si>
    <t>ZF 6WG210</t>
  </si>
  <si>
    <t>29.5R25</t>
  </si>
  <si>
    <t>0, 15, 30</t>
  </si>
  <si>
    <t>Yes, ?</t>
  </si>
  <si>
    <t>Main boom @ 5m</t>
  </si>
  <si>
    <t>Main boom @ 20m</t>
  </si>
  <si>
    <t>Main boom @ 30m</t>
  </si>
  <si>
    <t>Jib W/O inserts @ 40m</t>
  </si>
  <si>
    <t>Jib W/O inserts @ 20m</t>
  </si>
  <si>
    <t>Updated:</t>
  </si>
  <si>
    <t>Tadano
GR-1000XL-4</t>
  </si>
  <si>
    <t>Tadano GR-1000XLL-4</t>
  </si>
  <si>
    <t>https://liuchang2134.github.io/xcmg-mini-excavator-dashboard/arc.html</t>
  </si>
  <si>
    <t>29.5-25</t>
  </si>
  <si>
    <t>3 incl front and rear</t>
  </si>
  <si>
    <t>3.5, 25, 45</t>
  </si>
  <si>
    <t>Cummine B6.7</t>
  </si>
  <si>
    <t>Grove
GRT8100-1</t>
  </si>
  <si>
    <t>0, 20, 40</t>
  </si>
  <si>
    <t>Y rear</t>
  </si>
  <si>
    <t>Y -40degC</t>
  </si>
  <si>
    <t>Y, opt</t>
  </si>
  <si>
    <t>Linkbelt
100RT</t>
  </si>
  <si>
    <t>0, 15, 30, 45</t>
  </si>
  <si>
    <t>Liebherr
LRT1090-2.1</t>
  </si>
  <si>
    <t xml:space="preserve">Cummins </t>
  </si>
  <si>
    <t>Y rear only</t>
  </si>
  <si>
    <t>2deg out of level load charts</t>
  </si>
  <si>
    <t>Terex
TRT100US</t>
  </si>
  <si>
    <t>3000/3170</t>
  </si>
  <si>
    <t>26.5R25, 29.5R25 opt</t>
  </si>
  <si>
    <t>3902/3990</t>
  </si>
  <si>
    <t>0, 16, 32</t>
  </si>
  <si>
    <t>29/31</t>
  </si>
  <si>
    <t>Zoomlion
ZRT1000V543A</t>
  </si>
  <si>
    <t>Sany
SRA1000A</t>
  </si>
  <si>
    <t>Dana</t>
  </si>
  <si>
    <t>XCMG XCR130U</t>
  </si>
  <si>
    <t>Auto winch and boom control</t>
  </si>
  <si>
    <t>std</t>
  </si>
  <si>
    <t>Cummins L9</t>
  </si>
  <si>
    <t>ZF 6WG260</t>
  </si>
  <si>
    <t>875/65R29</t>
  </si>
  <si>
    <t>Main boom @ 40m</t>
  </si>
  <si>
    <t>Jib W/O inserts @ 30m</t>
  </si>
  <si>
    <t>On tires @ 5m over front</t>
  </si>
  <si>
    <t>Tadano
GR-1300XL-4</t>
  </si>
  <si>
    <t>std, 5-40deg</t>
  </si>
  <si>
    <t>29R25</t>
  </si>
  <si>
    <t>Grove
GRT8120</t>
  </si>
  <si>
    <t>opt, 0-45deg</t>
  </si>
  <si>
    <t>0, 20, 45</t>
  </si>
  <si>
    <t>Linkbelt
120RT</t>
  </si>
  <si>
    <t>2 @ 4.9m each</t>
  </si>
  <si>
    <t>Liebherr
LRT1130-2.1</t>
  </si>
  <si>
    <t>1 @ 7m</t>
  </si>
  <si>
    <t>Cummins</t>
  </si>
  <si>
    <t>y rear only</t>
  </si>
  <si>
    <t>Zoomlion
ZRT1300V</t>
  </si>
  <si>
    <t>Sany
SRA1200A</t>
  </si>
  <si>
    <t>XCMG XCR60U</t>
  </si>
  <si>
    <t>23.5-25</t>
  </si>
  <si>
    <t>none</t>
  </si>
  <si>
    <t>Main boom @ 15m</t>
  </si>
  <si>
    <t>On tires @ 7m over front</t>
  </si>
  <si>
    <t>Tadano
GR-550XL</t>
  </si>
  <si>
    <t>0, 25, 45</t>
  </si>
  <si>
    <t>Front and rear</t>
  </si>
  <si>
    <t>Grove
GRT765</t>
  </si>
  <si>
    <t>6895 (opt)</t>
  </si>
  <si>
    <t>Grove
GRT655</t>
  </si>
  <si>
    <t>Grove
GRT655L</t>
  </si>
  <si>
    <t>Linkbelt
65RT</t>
  </si>
  <si>
    <t>2 @ 4.9 each</t>
  </si>
  <si>
    <t>Cummins QSB6.9</t>
  </si>
  <si>
    <t>2, 15, 30, 45</t>
  </si>
  <si>
    <t>Terex
TRT60US</t>
  </si>
  <si>
    <t>0-17</t>
  </si>
  <si>
    <t>Rear only</t>
  </si>
  <si>
    <t>Zoomlion
ZRT600V</t>
  </si>
  <si>
    <t>Yes</t>
  </si>
  <si>
    <t>16-25</t>
  </si>
  <si>
    <t>Sany
SRA550A</t>
  </si>
  <si>
    <t>XCMG XCR75U</t>
  </si>
  <si>
    <t>ZF6WG210</t>
  </si>
  <si>
    <t>heavy CWT</t>
  </si>
  <si>
    <t>opt, 2700kg additional</t>
  </si>
  <si>
    <t>Tadano
GR-800XXL-4</t>
  </si>
  <si>
    <t>Tadano
GR-800XL-4</t>
  </si>
  <si>
    <t>4191 or 4790</t>
  </si>
  <si>
    <t>rear</t>
  </si>
  <si>
    <t>2 position CWT</t>
  </si>
  <si>
    <t>Grove
GRT780</t>
  </si>
  <si>
    <t>opt, 1360kg additional</t>
  </si>
  <si>
    <t>opt rear</t>
  </si>
  <si>
    <t>Cribbing rack</t>
  </si>
  <si>
    <t>Linkbelt
75RT</t>
  </si>
  <si>
    <t>opt, front and rear</t>
  </si>
  <si>
    <t>Cummins QSB</t>
  </si>
  <si>
    <t>Terex
TRT80US</t>
  </si>
  <si>
    <t>Y, rear axle only</t>
  </si>
  <si>
    <t>Zoomlion
ZRT800V542A</t>
  </si>
  <si>
    <t>Sany
SRA750A</t>
  </si>
  <si>
    <t>XCMG XCA150U</t>
  </si>
  <si>
    <t>Weight per axle</t>
  </si>
  <si>
    <t>Minimum transport with dolly</t>
  </si>
  <si>
    <t>Weight per axle with dolly</t>
  </si>
  <si>
    <t>Mercedes OM471LA</t>
  </si>
  <si>
    <t>ZF AMT</t>
  </si>
  <si>
    <t>525/80R25</t>
  </si>
  <si>
    <t>Wheel travel up</t>
  </si>
  <si>
    <t>Wheel travel down</t>
  </si>
  <si>
    <t>std upper only</t>
  </si>
  <si>
    <t>CWT on crane @ 10mt per axle</t>
  </si>
  <si>
    <t>CWT on crane @12 mt per axle</t>
  </si>
  <si>
    <t>Tires options</t>
  </si>
  <si>
    <t>Short heavy lift Jib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</si>
</sst>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b/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0"/>
      <color rgb="FF0D0D0D"/>
      <name val="Microsoft YaHei"/>
      <family val="2"/>
    </font>
    <font>
      <b/>
      <sz val="10"/>
      <color rgb="FF0D0D0D"/>
      <name val="Microsoft YaHei"/>
      <family val="2"/>
    </font>
    <font>
      <sz val="10"/>
      <color theme="1"/>
      <name val="Microsoft YaHei"/>
      <family val="2"/>
    </font>
    <font>
      <sz val="10"/>
      <name val="Microsoft YaHei"/>
      <family val="2"/>
    </font>
    <font>
      <b/>
      <sz val="10"/>
      <color theme="1"/>
      <name val="Microsoft YaHei"/>
      <family val="2"/>
    </font>
    <font>
      <b/>
      <sz val="10"/>
      <color rgb="FF000000"/>
      <name val="Microsoft YaHei"/>
      <family val="2"/>
    </font>
    <font>
      <sz val="10"/>
      <color rgb="FFFF0000"/>
      <name val="Microsoft YaHei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54A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90">
    <xf numFmtId="0" fontId="0" fillId="0" borderId="0" xfId="0"/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 readingOrder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4" xfId="0" applyFont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4" borderId="1" xfId="2" applyBorder="1" applyAlignment="1">
      <alignment horizontal="center" vertical="center"/>
    </xf>
    <xf numFmtId="0" fontId="11" fillId="3" borderId="1" xfId="1" applyBorder="1" applyAlignment="1">
      <alignment horizontal="center" vertical="center"/>
    </xf>
    <xf numFmtId="0" fontId="12" fillId="4" borderId="13" xfId="2" applyBorder="1" applyAlignment="1">
      <alignment horizontal="center" vertical="center"/>
    </xf>
    <xf numFmtId="0" fontId="12" fillId="4" borderId="11" xfId="2" applyBorder="1" applyAlignment="1">
      <alignment horizontal="center" vertical="center"/>
    </xf>
    <xf numFmtId="0" fontId="11" fillId="3" borderId="13" xfId="1" applyBorder="1" applyAlignment="1">
      <alignment horizontal="center" vertical="center"/>
    </xf>
    <xf numFmtId="0" fontId="11" fillId="3" borderId="11" xfId="1" applyBorder="1" applyAlignment="1">
      <alignment horizontal="center" vertical="center"/>
    </xf>
    <xf numFmtId="0" fontId="11" fillId="3" borderId="13" xfId="1" applyBorder="1" applyAlignment="1">
      <alignment horizontal="center"/>
    </xf>
    <xf numFmtId="0" fontId="12" fillId="4" borderId="13" xfId="2" applyBorder="1" applyAlignment="1">
      <alignment horizontal="center"/>
    </xf>
    <xf numFmtId="0" fontId="0" fillId="0" borderId="0" xfId="0" applyAlignment="1">
      <alignment horizontal="center"/>
    </xf>
    <xf numFmtId="0" fontId="1" fillId="2" borderId="6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" fontId="0" fillId="0" borderId="0" xfId="0" applyNumberFormat="1"/>
    <xf numFmtId="0" fontId="5" fillId="0" borderId="21" xfId="0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 readingOrder="1"/>
    </xf>
    <xf numFmtId="0" fontId="13" fillId="2" borderId="4" xfId="0" applyFont="1" applyFill="1" applyBorder="1" applyAlignment="1">
      <alignment horizontal="center" vertical="center" wrapText="1" readingOrder="1"/>
    </xf>
    <xf numFmtId="0" fontId="13" fillId="2" borderId="1" xfId="0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left"/>
    </xf>
    <xf numFmtId="0" fontId="15" fillId="0" borderId="2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2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 readingOrder="1"/>
    </xf>
    <xf numFmtId="0" fontId="17" fillId="0" borderId="0" xfId="0" applyFont="1" applyAlignment="1">
      <alignment horizontal="left"/>
    </xf>
    <xf numFmtId="0" fontId="16" fillId="0" borderId="1" xfId="0" applyFont="1" applyBorder="1" applyAlignment="1">
      <alignment horizontal="center" vertical="center" wrapText="1" readingOrder="1"/>
    </xf>
    <xf numFmtId="0" fontId="12" fillId="0" borderId="1" xfId="2" applyFill="1" applyBorder="1" applyAlignment="1">
      <alignment horizontal="center" vertical="center"/>
    </xf>
    <xf numFmtId="0" fontId="11" fillId="0" borderId="1" xfId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 readingOrder="1"/>
    </xf>
    <xf numFmtId="17" fontId="15" fillId="0" borderId="1" xfId="0" quotePrefix="1" applyNumberFormat="1" applyFont="1" applyBorder="1" applyAlignment="1">
      <alignment horizontal="center" vertical="center" wrapText="1" readingOrder="1"/>
    </xf>
    <xf numFmtId="0" fontId="15" fillId="0" borderId="1" xfId="0" quotePrefix="1" applyFont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0" borderId="1" xfId="2" applyFill="1" applyBorder="1" applyAlignment="1">
      <alignment horizontal="center" vertical="center" wrapText="1"/>
    </xf>
    <xf numFmtId="0" fontId="11" fillId="0" borderId="1" xfId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22" fillId="0" borderId="0" xfId="3"/>
    <xf numFmtId="0" fontId="0" fillId="0" borderId="1" xfId="0" quotePrefix="1" applyBorder="1" applyAlignment="1">
      <alignment horizontal="center" vertical="center"/>
    </xf>
    <xf numFmtId="164" fontId="0" fillId="0" borderId="1" xfId="0" quotePrefix="1" applyNumberFormat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 readingOrder="1"/>
    </xf>
    <xf numFmtId="0" fontId="16" fillId="0" borderId="6" xfId="0" applyFont="1" applyBorder="1" applyAlignment="1">
      <alignment horizontal="center" vertical="center" wrapText="1" readingOrder="1"/>
    </xf>
    <xf numFmtId="0" fontId="16" fillId="0" borderId="2" xfId="0" applyFont="1" applyBorder="1" applyAlignment="1">
      <alignment horizontal="center" vertical="center" wrapText="1" readingOrder="1"/>
    </xf>
    <xf numFmtId="0" fontId="16" fillId="0" borderId="7" xfId="0" applyFont="1" applyBorder="1" applyAlignment="1">
      <alignment horizontal="center" vertical="center" wrapText="1" readingOrder="1"/>
    </xf>
    <xf numFmtId="0" fontId="15" fillId="0" borderId="6" xfId="0" applyFont="1" applyBorder="1" applyAlignment="1">
      <alignment horizontal="center" vertical="center" wrapText="1" readingOrder="1"/>
    </xf>
    <xf numFmtId="0" fontId="15" fillId="0" borderId="7" xfId="0" applyFont="1" applyBorder="1" applyAlignment="1">
      <alignment horizontal="center" vertical="center" wrapText="1" readingOrder="1"/>
    </xf>
    <xf numFmtId="0" fontId="0" fillId="0" borderId="7" xfId="0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 readingOrder="1"/>
    </xf>
    <xf numFmtId="0" fontId="13" fillId="2" borderId="3" xfId="0" applyFont="1" applyFill="1" applyBorder="1" applyAlignment="1">
      <alignment horizontal="center" vertical="center" wrapText="1" readingOrder="1"/>
    </xf>
    <xf numFmtId="0" fontId="13" fillId="2" borderId="4" xfId="0" applyFont="1" applyFill="1" applyBorder="1" applyAlignment="1">
      <alignment horizontal="center" vertical="center" wrapText="1" readingOrder="1"/>
    </xf>
    <xf numFmtId="0" fontId="14" fillId="0" borderId="8" xfId="0" applyFont="1" applyBorder="1" applyAlignment="1">
      <alignment horizontal="center" vertical="center" textRotation="90" wrapText="1"/>
    </xf>
    <xf numFmtId="0" fontId="14" fillId="0" borderId="5" xfId="0" applyFont="1" applyBorder="1" applyAlignment="1">
      <alignment horizontal="center" vertical="center" textRotation="90" wrapText="1"/>
    </xf>
    <xf numFmtId="0" fontId="14" fillId="0" borderId="9" xfId="0" applyFont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1" fillId="2" borderId="24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7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9" fillId="0" borderId="11" xfId="0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vertical="center" wrapText="1" readingOrder="1"/>
    </xf>
    <xf numFmtId="0" fontId="9" fillId="0" borderId="13" xfId="0" applyFont="1" applyBorder="1" applyAlignment="1">
      <alignment horizontal="center" vertical="center" wrapText="1" readingOrder="1"/>
    </xf>
    <xf numFmtId="0" fontId="5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16" xfId="0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 wrapText="1" readingOrder="1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1~2</a:t>
            </a:r>
            <a:r>
              <a:rPr lang="zh-CN" altLang="en-US"/>
              <a:t>吨挖机产品性能参数评分雷达图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'RT-60t'!$AT$46</c:f>
              <c:strCache>
                <c:ptCount val="1"/>
                <c:pt idx="0">
                  <c:v>徐工
XE19U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38-4B8A-B18F-2141DEDA58A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38-4B8A-B18F-2141DEDA58A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38-4B8A-B18F-2141DEDA58A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38-4B8A-B18F-2141DEDA58A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38-4B8A-B18F-2141DEDA58A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38-4B8A-B18F-2141DEDA58A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538-4B8A-B18F-2141DEDA58AA}"/>
                </c:ext>
              </c:extLst>
            </c:dLbl>
            <c:dLbl>
              <c:idx val="10"/>
              <c:layout>
                <c:manualLayout>
                  <c:x val="-5.8304571677654252E-2"/>
                  <c:y val="0.1223957831382123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238030"/>
                        <a:gd name="adj2" fmla="val -9683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9538-4B8A-B18F-2141DEDA58A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'RT-60t'!$AS$47:$AS$57</c:f>
              <c:strCache>
                <c:ptCount val="11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5">
                  <c:v>Power</c:v>
                </c:pt>
                <c:pt idx="7">
                  <c:v>Hydraulic System</c:v>
                </c:pt>
                <c:pt idx="8">
                  <c:v>Travel</c:v>
                </c:pt>
                <c:pt idx="9">
                  <c:v>Swing</c:v>
                </c:pt>
                <c:pt idx="10">
                  <c:v>Digging Force</c:v>
                </c:pt>
              </c:strCache>
            </c:strRef>
          </c:cat>
          <c:val>
            <c:numRef>
              <c:f>'RT-60t'!$AT$47:$AT$57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3.3</c:v>
                </c:pt>
                <c:pt idx="5">
                  <c:v>5</c:v>
                </c:pt>
                <c:pt idx="7">
                  <c:v>3.3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38-4B8A-B18F-2141DEDA58AA}"/>
            </c:ext>
          </c:extLst>
        </c:ser>
        <c:ser>
          <c:idx val="1"/>
          <c:order val="1"/>
          <c:tx>
            <c:strRef>
              <c:f>'RT-60t'!$AU$46</c:f>
              <c:strCache>
                <c:ptCount val="1"/>
                <c:pt idx="0">
                  <c:v>卡特
301.7 CR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'RT-60t'!$AS$47:$AS$57</c:f>
              <c:strCache>
                <c:ptCount val="11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5">
                  <c:v>Power</c:v>
                </c:pt>
                <c:pt idx="7">
                  <c:v>Hydraulic System</c:v>
                </c:pt>
                <c:pt idx="8">
                  <c:v>Travel</c:v>
                </c:pt>
                <c:pt idx="9">
                  <c:v>Swing</c:v>
                </c:pt>
                <c:pt idx="10">
                  <c:v>Digging Force</c:v>
                </c:pt>
              </c:strCache>
            </c:strRef>
          </c:cat>
          <c:val>
            <c:numRef>
              <c:f>'RT-60t'!$AU$47:$AU$57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5">
                  <c:v>5</c:v>
                </c:pt>
                <c:pt idx="7">
                  <c:v>3.6</c:v>
                </c:pt>
                <c:pt idx="8">
                  <c:v>3.5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38-4B8A-B18F-2141DEDA5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88864"/>
        <c:axId val="186889344"/>
        <c:extLst>
          <c:ext xmlns:c15="http://schemas.microsoft.com/office/drawing/2012/chart" uri="{02D57815-91ED-43cb-92C2-25804820EDAC}">
            <c15:filteredRad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'RT-60t'!$AV$46</c15:sqref>
                        </c15:formulaRef>
                      </c:ext>
                    </c:extLst>
                    <c:strCache>
                      <c:ptCount val="1"/>
                      <c:pt idx="0">
                        <c:v>卡特
301.8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'RT-60t'!$AS$47:$AS$57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'RT-60t'!$AV$47:$AV$57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5</c:v>
                      </c:pt>
                      <c:pt idx="7">
                        <c:v>3.6</c:v>
                      </c:pt>
                      <c:pt idx="8">
                        <c:v>3.5</c:v>
                      </c:pt>
                      <c:pt idx="9">
                        <c:v>3</c:v>
                      </c:pt>
                      <c:pt idx="10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9538-4B8A-B18F-2141DEDA58AA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'RT-60t'!$AW$46</c15:sqref>
                        </c15:formulaRef>
                      </c:ext>
                    </c:extLst>
                    <c:strCache>
                      <c:ptCount val="1"/>
                      <c:pt idx="0">
                        <c:v>迪尔
17P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'RT-60t'!$AW$47:$AW$57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</c:v>
                      </c:pt>
                      <c:pt idx="1">
                        <c:v>3</c:v>
                      </c:pt>
                      <c:pt idx="2">
                        <c:v>3.3</c:v>
                      </c:pt>
                      <c:pt idx="5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3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538-4B8A-B18F-2141DEDA58AA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'RT-60t'!$AX$46</c15:sqref>
                        </c15:formulaRef>
                      </c:ext>
                    </c:extLst>
                    <c:strCache>
                      <c:ptCount val="1"/>
                      <c:pt idx="0">
                        <c:v>山猫
E20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'RT-60t'!$AX$47:$AX$57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</c:v>
                      </c:pt>
                      <c:pt idx="1">
                        <c:v>3</c:v>
                      </c:pt>
                      <c:pt idx="2">
                        <c:v>5</c:v>
                      </c:pt>
                      <c:pt idx="5">
                        <c:v>1</c:v>
                      </c:pt>
                      <c:pt idx="7">
                        <c:v>3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538-4B8A-B18F-2141DEDA58AA}"/>
                  </c:ext>
                </c:extLst>
              </c15:ser>
            </c15:filteredRadarSeries>
            <c15:filteredRad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'RT-60t'!$AY$46</c15:sqref>
                        </c15:formulaRef>
                      </c:ext>
                    </c:extLst>
                    <c:strCache>
                      <c:ptCount val="1"/>
                      <c:pt idx="0">
                        <c:v>久保田
U17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'RT-60t'!$AY$47:$AY$57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3.5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1</c:v>
                      </c:pt>
                      <c:pt idx="7">
                        <c:v>2.2999999999999998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538-4B8A-B18F-2141DEDA58AA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'RT-60t'!$AZ$46</c15:sqref>
                        </c15:formulaRef>
                      </c:ext>
                    </c:extLst>
                    <c:strCache>
                      <c:ptCount val="1"/>
                      <c:pt idx="0">
                        <c:v>久保田
KX018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'RT-60t'!$AZ$47:$AZ$57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1</c:v>
                      </c:pt>
                      <c:pt idx="7">
                        <c:v>2.2999999999999998</c:v>
                      </c:pt>
                      <c:pt idx="8">
                        <c:v>4.3</c:v>
                      </c:pt>
                      <c:pt idx="9">
                        <c:v>3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538-4B8A-B18F-2141DEDA58AA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'RT-60t'!$BA$46</c15:sqref>
                        </c15:formulaRef>
                      </c:ext>
                    </c:extLst>
                    <c:strCache>
                      <c:ptCount val="1"/>
                      <c:pt idx="0">
                        <c:v>沃尔沃
ECR18E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'RT-60t'!$BA$47:$BA$57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3.5</c:v>
                      </c:pt>
                      <c:pt idx="1">
                        <c:v>3</c:v>
                      </c:pt>
                      <c:pt idx="2">
                        <c:v>2.2000000000000002</c:v>
                      </c:pt>
                      <c:pt idx="5">
                        <c:v>1</c:v>
                      </c:pt>
                      <c:pt idx="7">
                        <c:v>1.7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538-4B8A-B18F-2141DEDA58AA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'RT-60t'!$BB$46</c15:sqref>
                        </c15:formulaRef>
                      </c:ext>
                    </c:extLst>
                    <c:strCache>
                      <c:ptCount val="1"/>
                      <c:pt idx="0">
                        <c:v>现代
HX17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'RT-60t'!$BB$47:$BB$57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</c:v>
                      </c:pt>
                      <c:pt idx="5">
                        <c:v>1</c:v>
                      </c:pt>
                      <c:pt idx="7">
                        <c:v>2.7</c:v>
                      </c:pt>
                      <c:pt idx="8">
                        <c:v>2.2999999999999998</c:v>
                      </c:pt>
                      <c:pt idx="9">
                        <c:v>1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538-4B8A-B18F-2141DEDA58AA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'RT-60t'!$BC$46</c15:sqref>
                        </c15:formulaRef>
                      </c:ext>
                    </c:extLst>
                    <c:strCache>
                      <c:ptCount val="1"/>
                      <c:pt idx="0">
                        <c:v>斗山
DX17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'RT-60t'!$BC$47:$BC$57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</c:v>
                      </c:pt>
                      <c:pt idx="5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1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538-4B8A-B18F-2141DEDA58AA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'RT-60t'!$BD$46</c15:sqref>
                        </c15:formulaRef>
                      </c:ext>
                    </c:extLst>
                    <c:strCache>
                      <c:ptCount val="1"/>
                      <c:pt idx="0">
                        <c:v>三一
SY18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'RT-60t'!$BD$47:$BD$57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3.8</c:v>
                      </c:pt>
                      <c:pt idx="5">
                        <c:v>3</c:v>
                      </c:pt>
                      <c:pt idx="7">
                        <c:v>3.8</c:v>
                      </c:pt>
                      <c:pt idx="8">
                        <c:v>2</c:v>
                      </c:pt>
                      <c:pt idx="9">
                        <c:v>5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538-4B8A-B18F-2141DEDA58AA}"/>
                  </c:ext>
                </c:extLst>
              </c15:ser>
            </c15:filteredRadarSeries>
          </c:ext>
        </c:extLst>
      </c:radarChart>
      <c:catAx>
        <c:axId val="18688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9344"/>
        <c:crosses val="autoZero"/>
        <c:auto val="1"/>
        <c:lblAlgn val="ctr"/>
        <c:lblOffset val="100"/>
        <c:noMultiLvlLbl val="0"/>
      </c:catAx>
      <c:valAx>
        <c:axId val="1868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1~2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吨挖机产品标选配置评分雷达图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'RT-60t'!$AT$87</c:f>
              <c:strCache>
                <c:ptCount val="1"/>
                <c:pt idx="0">
                  <c:v>徐工
XE19U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6A-408E-903F-4B06F76C3E9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6A-408E-903F-4B06F76C3E9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6A-408E-903F-4B06F76C3E99}"/>
                </c:ext>
              </c:extLst>
            </c:dLbl>
            <c:dLbl>
              <c:idx val="3"/>
              <c:layout>
                <c:manualLayout>
                  <c:x val="-0.1388888888888889"/>
                  <c:y val="-6.8226120857699898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343751"/>
                        <a:gd name="adj2" fmla="val -126547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66A-408E-903F-4B06F76C3E9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6A-408E-903F-4B06F76C3E9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'RT-60t'!$AS$88:$AS$92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'RT-60t'!$AT$88:$AT$92</c:f>
              <c:numCache>
                <c:formatCode>General</c:formatCode>
                <c:ptCount val="5"/>
                <c:pt idx="0">
                  <c:v>0</c:v>
                </c:pt>
                <c:pt idx="1">
                  <c:v>0.6</c:v>
                </c:pt>
                <c:pt idx="2">
                  <c:v>0</c:v>
                </c:pt>
                <c:pt idx="3">
                  <c:v>2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6A-408E-903F-4B06F76C3E99}"/>
            </c:ext>
          </c:extLst>
        </c:ser>
        <c:ser>
          <c:idx val="1"/>
          <c:order val="1"/>
          <c:tx>
            <c:strRef>
              <c:f>'RT-60t'!$AU$87</c:f>
              <c:strCache>
                <c:ptCount val="1"/>
                <c:pt idx="0">
                  <c:v>卡特
301.7 CR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'RT-60t'!$AS$88:$AS$92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'RT-60t'!$AU$88:$AU$92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0.8</c:v>
                </c:pt>
                <c:pt idx="3">
                  <c:v>0.7</c:v>
                </c:pt>
                <c:pt idx="4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6A-408E-903F-4B06F76C3E99}"/>
            </c:ext>
          </c:extLst>
        </c:ser>
        <c:ser>
          <c:idx val="2"/>
          <c:order val="2"/>
          <c:tx>
            <c:strRef>
              <c:f>'RT-60t'!$AV$87</c:f>
              <c:strCache>
                <c:ptCount val="1"/>
                <c:pt idx="0">
                  <c:v>卡特
301.8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'RT-60t'!$AS$88:$AS$92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'RT-60t'!$AV$88:$AV$92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2.5</c:v>
                </c:pt>
                <c:pt idx="3">
                  <c:v>0.7</c:v>
                </c:pt>
                <c:pt idx="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6A-408E-903F-4B06F76C3E99}"/>
            </c:ext>
          </c:extLst>
        </c:ser>
        <c:ser>
          <c:idx val="3"/>
          <c:order val="3"/>
          <c:tx>
            <c:strRef>
              <c:f>'RT-60t'!$AW$87</c:f>
              <c:strCache>
                <c:ptCount val="1"/>
                <c:pt idx="0">
                  <c:v>迪尔
17P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'RT-60t'!$AS$88:$AS$92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'RT-60t'!$AW$88:$AW$92</c:f>
              <c:numCache>
                <c:formatCode>General</c:formatCode>
                <c:ptCount val="5"/>
                <c:pt idx="0">
                  <c:v>0</c:v>
                </c:pt>
                <c:pt idx="1">
                  <c:v>0.6</c:v>
                </c:pt>
                <c:pt idx="2">
                  <c:v>0.4</c:v>
                </c:pt>
                <c:pt idx="3">
                  <c:v>0.3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A-408E-903F-4B06F76C3E99}"/>
            </c:ext>
          </c:extLst>
        </c:ser>
        <c:ser>
          <c:idx val="4"/>
          <c:order val="4"/>
          <c:tx>
            <c:strRef>
              <c:f>'RT-60t'!$AX$87</c:f>
              <c:strCache>
                <c:ptCount val="1"/>
                <c:pt idx="0">
                  <c:v>山猫
E20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'RT-60t'!$AS$88:$AS$92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'RT-60t'!$AX$88:$AX$92</c:f>
              <c:numCache>
                <c:formatCode>General</c:formatCode>
                <c:ptCount val="5"/>
                <c:pt idx="0">
                  <c:v>0.5</c:v>
                </c:pt>
                <c:pt idx="1">
                  <c:v>0.6</c:v>
                </c:pt>
                <c:pt idx="2">
                  <c:v>0.4</c:v>
                </c:pt>
                <c:pt idx="3">
                  <c:v>0</c:v>
                </c:pt>
                <c:pt idx="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6A-408E-903F-4B06F76C3E99}"/>
            </c:ext>
          </c:extLst>
        </c:ser>
        <c:ser>
          <c:idx val="5"/>
          <c:order val="5"/>
          <c:tx>
            <c:strRef>
              <c:f>'RT-60t'!$AY$87</c:f>
              <c:strCache>
                <c:ptCount val="1"/>
                <c:pt idx="0">
                  <c:v>久保田
U17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'RT-60t'!$AS$88:$AS$92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'RT-60t'!$AY$88:$AY$92</c:f>
              <c:numCache>
                <c:formatCode>General</c:formatCode>
                <c:ptCount val="5"/>
                <c:pt idx="0">
                  <c:v>1.5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66A-408E-903F-4B06F76C3E99}"/>
            </c:ext>
          </c:extLst>
        </c:ser>
        <c:ser>
          <c:idx val="6"/>
          <c:order val="6"/>
          <c:tx>
            <c:strRef>
              <c:f>'RT-60t'!$AZ$87</c:f>
              <c:strCache>
                <c:ptCount val="1"/>
                <c:pt idx="0">
                  <c:v>久保田
KX018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'RT-60t'!$AS$88:$AS$92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'RT-60t'!$AZ$88:$AZ$92</c:f>
              <c:numCache>
                <c:formatCode>General</c:formatCode>
                <c:ptCount val="5"/>
                <c:pt idx="0">
                  <c:v>1.5</c:v>
                </c:pt>
                <c:pt idx="1">
                  <c:v>0.9</c:v>
                </c:pt>
                <c:pt idx="2">
                  <c:v>1</c:v>
                </c:pt>
                <c:pt idx="3">
                  <c:v>0.3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66A-408E-903F-4B06F76C3E99}"/>
            </c:ext>
          </c:extLst>
        </c:ser>
        <c:ser>
          <c:idx val="7"/>
          <c:order val="7"/>
          <c:tx>
            <c:strRef>
              <c:f>'RT-60t'!$BA$87</c:f>
              <c:strCache>
                <c:ptCount val="1"/>
                <c:pt idx="0">
                  <c:v>沃尔沃
ECR18E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'RT-60t'!$AS$88:$AS$92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'RT-60t'!$BA$88:$BA$92</c:f>
              <c:numCache>
                <c:formatCode>General</c:formatCode>
                <c:ptCount val="5"/>
                <c:pt idx="0">
                  <c:v>1</c:v>
                </c:pt>
                <c:pt idx="1">
                  <c:v>0.7</c:v>
                </c:pt>
                <c:pt idx="2">
                  <c:v>1.1000000000000001</c:v>
                </c:pt>
                <c:pt idx="3">
                  <c:v>0.7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66A-408E-903F-4B06F76C3E99}"/>
            </c:ext>
          </c:extLst>
        </c:ser>
        <c:ser>
          <c:idx val="8"/>
          <c:order val="8"/>
          <c:tx>
            <c:strRef>
              <c:f>'RT-60t'!$BB$87</c:f>
              <c:strCache>
                <c:ptCount val="1"/>
                <c:pt idx="0">
                  <c:v>现代
HX17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'RT-60t'!$AS$88:$AS$92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'RT-60t'!$BB$88:$BB$92</c:f>
              <c:numCache>
                <c:formatCode>General</c:formatCode>
                <c:ptCount val="5"/>
                <c:pt idx="0">
                  <c:v>0</c:v>
                </c:pt>
                <c:pt idx="1">
                  <c:v>1.7</c:v>
                </c:pt>
                <c:pt idx="2">
                  <c:v>0.4</c:v>
                </c:pt>
                <c:pt idx="3">
                  <c:v>2.2999999999999998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66A-408E-903F-4B06F76C3E99}"/>
            </c:ext>
          </c:extLst>
        </c:ser>
        <c:ser>
          <c:idx val="9"/>
          <c:order val="9"/>
          <c:tx>
            <c:strRef>
              <c:f>'RT-60t'!$BC$87</c:f>
              <c:strCache>
                <c:ptCount val="1"/>
                <c:pt idx="0">
                  <c:v>斗山
DX17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'RT-60t'!$AS$88:$AS$92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'RT-60t'!$BC$88:$BC$92</c:f>
              <c:numCache>
                <c:formatCode>General</c:formatCode>
                <c:ptCount val="5"/>
                <c:pt idx="0">
                  <c:v>0</c:v>
                </c:pt>
                <c:pt idx="1">
                  <c:v>0.4</c:v>
                </c:pt>
                <c:pt idx="2">
                  <c:v>0</c:v>
                </c:pt>
                <c:pt idx="3">
                  <c:v>1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66A-408E-903F-4B06F76C3E99}"/>
            </c:ext>
          </c:extLst>
        </c:ser>
        <c:ser>
          <c:idx val="10"/>
          <c:order val="10"/>
          <c:tx>
            <c:strRef>
              <c:f>'RT-60t'!$BD$87</c:f>
              <c:strCache>
                <c:ptCount val="1"/>
                <c:pt idx="0">
                  <c:v>三一
SY18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'RT-60t'!$AS$88:$AS$92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'RT-60t'!$BD$88:$BD$92</c:f>
              <c:numCache>
                <c:formatCode>General</c:formatCode>
                <c:ptCount val="5"/>
                <c:pt idx="0">
                  <c:v>1.5</c:v>
                </c:pt>
                <c:pt idx="1">
                  <c:v>1.3</c:v>
                </c:pt>
                <c:pt idx="2">
                  <c:v>0.4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66A-408E-903F-4B06F76C3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779471"/>
        <c:axId val="310782351"/>
      </c:radarChart>
      <c:catAx>
        <c:axId val="31077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82351"/>
        <c:crosses val="autoZero"/>
        <c:auto val="1"/>
        <c:lblAlgn val="ctr"/>
        <c:lblOffset val="100"/>
        <c:noMultiLvlLbl val="0"/>
      </c:catAx>
      <c:valAx>
        <c:axId val="31078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7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1~2</a:t>
            </a:r>
            <a:r>
              <a:rPr lang="zh-CN" altLang="en-US"/>
              <a:t>吨挖机产品性能参数评分雷达图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'RT-75t '!$AQ$46</c:f>
              <c:strCache>
                <c:ptCount val="1"/>
                <c:pt idx="0">
                  <c:v>徐工
XE19U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DCB-4D4C-9824-CD4D6F24592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CB-4D4C-9824-CD4D6F24592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CB-4D4C-9824-CD4D6F24592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CB-4D4C-9824-CD4D6F24592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CB-4D4C-9824-CD4D6F24592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CB-4D4C-9824-CD4D6F24592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DCB-4D4C-9824-CD4D6F245928}"/>
                </c:ext>
              </c:extLst>
            </c:dLbl>
            <c:dLbl>
              <c:idx val="10"/>
              <c:layout>
                <c:manualLayout>
                  <c:x val="-5.8304571677654252E-2"/>
                  <c:y val="0.1223957831382123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238030"/>
                        <a:gd name="adj2" fmla="val -9683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9DCB-4D4C-9824-CD4D6F24592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'RT-75t '!$AP$47:$AP$57</c:f>
              <c:strCache>
                <c:ptCount val="11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5">
                  <c:v>Power</c:v>
                </c:pt>
                <c:pt idx="7">
                  <c:v>Hydraulic System</c:v>
                </c:pt>
                <c:pt idx="8">
                  <c:v>Travel</c:v>
                </c:pt>
                <c:pt idx="9">
                  <c:v>Swing</c:v>
                </c:pt>
                <c:pt idx="10">
                  <c:v>Digging Force</c:v>
                </c:pt>
              </c:strCache>
            </c:strRef>
          </c:cat>
          <c:val>
            <c:numRef>
              <c:f>'RT-75t '!$AQ$47:$AQ$57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3.3</c:v>
                </c:pt>
                <c:pt idx="5">
                  <c:v>5</c:v>
                </c:pt>
                <c:pt idx="7">
                  <c:v>3.3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CB-4D4C-9824-CD4D6F245928}"/>
            </c:ext>
          </c:extLst>
        </c:ser>
        <c:ser>
          <c:idx val="1"/>
          <c:order val="1"/>
          <c:tx>
            <c:strRef>
              <c:f>'RT-75t '!$AR$46</c:f>
              <c:strCache>
                <c:ptCount val="1"/>
                <c:pt idx="0">
                  <c:v>卡特
301.7 CR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'RT-75t '!$AP$47:$AP$57</c:f>
              <c:strCache>
                <c:ptCount val="11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5">
                  <c:v>Power</c:v>
                </c:pt>
                <c:pt idx="7">
                  <c:v>Hydraulic System</c:v>
                </c:pt>
                <c:pt idx="8">
                  <c:v>Travel</c:v>
                </c:pt>
                <c:pt idx="9">
                  <c:v>Swing</c:v>
                </c:pt>
                <c:pt idx="10">
                  <c:v>Digging Force</c:v>
                </c:pt>
              </c:strCache>
            </c:strRef>
          </c:cat>
          <c:val>
            <c:numRef>
              <c:f>'RT-75t '!$AR$47:$AR$57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5">
                  <c:v>5</c:v>
                </c:pt>
                <c:pt idx="7">
                  <c:v>3.6</c:v>
                </c:pt>
                <c:pt idx="8">
                  <c:v>3.5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CB-4D4C-9824-CD4D6F245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88864"/>
        <c:axId val="186889344"/>
        <c:extLst>
          <c:ext xmlns:c15="http://schemas.microsoft.com/office/drawing/2012/chart" uri="{02D57815-91ED-43cb-92C2-25804820EDAC}">
            <c15:filteredRad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'RT-75t '!$AS$46</c15:sqref>
                        </c15:formulaRef>
                      </c:ext>
                    </c:extLst>
                    <c:strCache>
                      <c:ptCount val="1"/>
                      <c:pt idx="0">
                        <c:v>卡特
301.8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'RT-75t 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'RT-75t '!$AS$47:$AS$57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5</c:v>
                      </c:pt>
                      <c:pt idx="7">
                        <c:v>3.6</c:v>
                      </c:pt>
                      <c:pt idx="8">
                        <c:v>3.5</c:v>
                      </c:pt>
                      <c:pt idx="9">
                        <c:v>3</c:v>
                      </c:pt>
                      <c:pt idx="10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9DCB-4D4C-9824-CD4D6F245928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'!$AT$46</c15:sqref>
                        </c15:formulaRef>
                      </c:ext>
                    </c:extLst>
                    <c:strCache>
                      <c:ptCount val="1"/>
                      <c:pt idx="0">
                        <c:v>迪尔
17P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'!$AT$47:$AT$57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</c:v>
                      </c:pt>
                      <c:pt idx="1">
                        <c:v>3</c:v>
                      </c:pt>
                      <c:pt idx="2">
                        <c:v>3.3</c:v>
                      </c:pt>
                      <c:pt idx="5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3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DCB-4D4C-9824-CD4D6F245928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'!$AU$46</c15:sqref>
                        </c15:formulaRef>
                      </c:ext>
                    </c:extLst>
                    <c:strCache>
                      <c:ptCount val="1"/>
                      <c:pt idx="0">
                        <c:v>山猫
E20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'!$AU$47:$AU$57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</c:v>
                      </c:pt>
                      <c:pt idx="1">
                        <c:v>3</c:v>
                      </c:pt>
                      <c:pt idx="2">
                        <c:v>5</c:v>
                      </c:pt>
                      <c:pt idx="5">
                        <c:v>1</c:v>
                      </c:pt>
                      <c:pt idx="7">
                        <c:v>3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DCB-4D4C-9824-CD4D6F245928}"/>
                  </c:ext>
                </c:extLst>
              </c15:ser>
            </c15:filteredRadarSeries>
            <c15:filteredRad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'!$AV$46</c15:sqref>
                        </c15:formulaRef>
                      </c:ext>
                    </c:extLst>
                    <c:strCache>
                      <c:ptCount val="1"/>
                      <c:pt idx="0">
                        <c:v>久保田
U17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'!$AV$47:$AV$57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3.5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1</c:v>
                      </c:pt>
                      <c:pt idx="7">
                        <c:v>2.2999999999999998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DCB-4D4C-9824-CD4D6F245928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'!$AW$46</c15:sqref>
                        </c15:formulaRef>
                      </c:ext>
                    </c:extLst>
                    <c:strCache>
                      <c:ptCount val="1"/>
                      <c:pt idx="0">
                        <c:v>久保田
KX018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'!$AW$47:$AW$57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1</c:v>
                      </c:pt>
                      <c:pt idx="7">
                        <c:v>2.2999999999999998</c:v>
                      </c:pt>
                      <c:pt idx="8">
                        <c:v>4.3</c:v>
                      </c:pt>
                      <c:pt idx="9">
                        <c:v>3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DCB-4D4C-9824-CD4D6F245928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'!$AX$46</c15:sqref>
                        </c15:formulaRef>
                      </c:ext>
                    </c:extLst>
                    <c:strCache>
                      <c:ptCount val="1"/>
                      <c:pt idx="0">
                        <c:v>沃尔沃
ECR18E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'!$AX$47:$AX$57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3.5</c:v>
                      </c:pt>
                      <c:pt idx="1">
                        <c:v>3</c:v>
                      </c:pt>
                      <c:pt idx="2">
                        <c:v>2.2000000000000002</c:v>
                      </c:pt>
                      <c:pt idx="5">
                        <c:v>1</c:v>
                      </c:pt>
                      <c:pt idx="7">
                        <c:v>1.7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DCB-4D4C-9824-CD4D6F245928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'!$AY$46</c15:sqref>
                        </c15:formulaRef>
                      </c:ext>
                    </c:extLst>
                    <c:strCache>
                      <c:ptCount val="1"/>
                      <c:pt idx="0">
                        <c:v>现代
HX17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'!$AY$47:$AY$57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</c:v>
                      </c:pt>
                      <c:pt idx="5">
                        <c:v>1</c:v>
                      </c:pt>
                      <c:pt idx="7">
                        <c:v>2.7</c:v>
                      </c:pt>
                      <c:pt idx="8">
                        <c:v>2.2999999999999998</c:v>
                      </c:pt>
                      <c:pt idx="9">
                        <c:v>1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DCB-4D4C-9824-CD4D6F245928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'!$AZ$46</c15:sqref>
                        </c15:formulaRef>
                      </c:ext>
                    </c:extLst>
                    <c:strCache>
                      <c:ptCount val="1"/>
                      <c:pt idx="0">
                        <c:v>斗山
DX17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'!$AZ$47:$AZ$57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</c:v>
                      </c:pt>
                      <c:pt idx="5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1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DCB-4D4C-9824-CD4D6F245928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'!$BA$46</c15:sqref>
                        </c15:formulaRef>
                      </c:ext>
                    </c:extLst>
                    <c:strCache>
                      <c:ptCount val="1"/>
                      <c:pt idx="0">
                        <c:v>三一
SY18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'RT-75t '!$BA$47:$BA$57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3.8</c:v>
                      </c:pt>
                      <c:pt idx="5">
                        <c:v>3</c:v>
                      </c:pt>
                      <c:pt idx="7">
                        <c:v>3.8</c:v>
                      </c:pt>
                      <c:pt idx="8">
                        <c:v>2</c:v>
                      </c:pt>
                      <c:pt idx="9">
                        <c:v>5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DCB-4D4C-9824-CD4D6F245928}"/>
                  </c:ext>
                </c:extLst>
              </c15:ser>
            </c15:filteredRadarSeries>
          </c:ext>
        </c:extLst>
      </c:radarChart>
      <c:catAx>
        <c:axId val="18688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9344"/>
        <c:crosses val="autoZero"/>
        <c:auto val="1"/>
        <c:lblAlgn val="ctr"/>
        <c:lblOffset val="100"/>
        <c:noMultiLvlLbl val="0"/>
      </c:catAx>
      <c:valAx>
        <c:axId val="1868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1~2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吨挖机产品标选配置评分雷达图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'RT-75t '!$AQ$87</c:f>
              <c:strCache>
                <c:ptCount val="1"/>
                <c:pt idx="0">
                  <c:v>徐工
XE19U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79-4378-8FA1-6F429CEA87B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79-4378-8FA1-6F429CEA87B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79-4378-8FA1-6F429CEA87BB}"/>
                </c:ext>
              </c:extLst>
            </c:dLbl>
            <c:dLbl>
              <c:idx val="3"/>
              <c:layout>
                <c:manualLayout>
                  <c:x val="-0.1388888888888889"/>
                  <c:y val="-6.8226120857699898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343751"/>
                        <a:gd name="adj2" fmla="val -126547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779-4378-8FA1-6F429CEA87B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79-4378-8FA1-6F429CEA87B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'RT-75t 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'RT-75t '!$AQ$88:$AQ$92</c:f>
              <c:numCache>
                <c:formatCode>General</c:formatCode>
                <c:ptCount val="5"/>
                <c:pt idx="0">
                  <c:v>0</c:v>
                </c:pt>
                <c:pt idx="1">
                  <c:v>0.6</c:v>
                </c:pt>
                <c:pt idx="2">
                  <c:v>0</c:v>
                </c:pt>
                <c:pt idx="3">
                  <c:v>2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79-4378-8FA1-6F429CEA87BB}"/>
            </c:ext>
          </c:extLst>
        </c:ser>
        <c:ser>
          <c:idx val="1"/>
          <c:order val="1"/>
          <c:tx>
            <c:strRef>
              <c:f>'RT-75t '!$AR$87</c:f>
              <c:strCache>
                <c:ptCount val="1"/>
                <c:pt idx="0">
                  <c:v>卡特
301.7 CR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'RT-75t 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'RT-75t '!$AR$88:$AR$92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0.8</c:v>
                </c:pt>
                <c:pt idx="3">
                  <c:v>0.7</c:v>
                </c:pt>
                <c:pt idx="4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79-4378-8FA1-6F429CEA87BB}"/>
            </c:ext>
          </c:extLst>
        </c:ser>
        <c:ser>
          <c:idx val="2"/>
          <c:order val="2"/>
          <c:tx>
            <c:strRef>
              <c:f>'RT-75t '!$AS$87</c:f>
              <c:strCache>
                <c:ptCount val="1"/>
                <c:pt idx="0">
                  <c:v>卡特
301.8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'RT-75t 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'RT-75t '!$AS$88:$AS$92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2.5</c:v>
                </c:pt>
                <c:pt idx="3">
                  <c:v>0.7</c:v>
                </c:pt>
                <c:pt idx="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779-4378-8FA1-6F429CEA87BB}"/>
            </c:ext>
          </c:extLst>
        </c:ser>
        <c:ser>
          <c:idx val="3"/>
          <c:order val="3"/>
          <c:tx>
            <c:strRef>
              <c:f>'RT-75t '!$AT$87</c:f>
              <c:strCache>
                <c:ptCount val="1"/>
                <c:pt idx="0">
                  <c:v>迪尔
17P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'RT-75t 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'RT-75t '!$AT$88:$AT$92</c:f>
              <c:numCache>
                <c:formatCode>General</c:formatCode>
                <c:ptCount val="5"/>
                <c:pt idx="0">
                  <c:v>0</c:v>
                </c:pt>
                <c:pt idx="1">
                  <c:v>0.6</c:v>
                </c:pt>
                <c:pt idx="2">
                  <c:v>0.4</c:v>
                </c:pt>
                <c:pt idx="3">
                  <c:v>0.3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79-4378-8FA1-6F429CEA87BB}"/>
            </c:ext>
          </c:extLst>
        </c:ser>
        <c:ser>
          <c:idx val="4"/>
          <c:order val="4"/>
          <c:tx>
            <c:strRef>
              <c:f>'RT-75t '!$AU$87</c:f>
              <c:strCache>
                <c:ptCount val="1"/>
                <c:pt idx="0">
                  <c:v>山猫
E20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'RT-75t 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'RT-75t '!$AU$88:$AU$92</c:f>
              <c:numCache>
                <c:formatCode>General</c:formatCode>
                <c:ptCount val="5"/>
                <c:pt idx="0">
                  <c:v>0.5</c:v>
                </c:pt>
                <c:pt idx="1">
                  <c:v>0.6</c:v>
                </c:pt>
                <c:pt idx="2">
                  <c:v>0.4</c:v>
                </c:pt>
                <c:pt idx="3">
                  <c:v>0</c:v>
                </c:pt>
                <c:pt idx="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779-4378-8FA1-6F429CEA87BB}"/>
            </c:ext>
          </c:extLst>
        </c:ser>
        <c:ser>
          <c:idx val="5"/>
          <c:order val="5"/>
          <c:tx>
            <c:strRef>
              <c:f>'RT-75t '!$AV$87</c:f>
              <c:strCache>
                <c:ptCount val="1"/>
                <c:pt idx="0">
                  <c:v>久保田
U17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'RT-75t 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'RT-75t '!$AV$88:$AV$92</c:f>
              <c:numCache>
                <c:formatCode>General</c:formatCode>
                <c:ptCount val="5"/>
                <c:pt idx="0">
                  <c:v>1.5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79-4378-8FA1-6F429CEA87BB}"/>
            </c:ext>
          </c:extLst>
        </c:ser>
        <c:ser>
          <c:idx val="6"/>
          <c:order val="6"/>
          <c:tx>
            <c:strRef>
              <c:f>'RT-75t '!$AW$87</c:f>
              <c:strCache>
                <c:ptCount val="1"/>
                <c:pt idx="0">
                  <c:v>久保田
KX018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'RT-75t 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'RT-75t '!$AW$88:$AW$92</c:f>
              <c:numCache>
                <c:formatCode>General</c:formatCode>
                <c:ptCount val="5"/>
                <c:pt idx="0">
                  <c:v>1.5</c:v>
                </c:pt>
                <c:pt idx="1">
                  <c:v>0.9</c:v>
                </c:pt>
                <c:pt idx="2">
                  <c:v>1</c:v>
                </c:pt>
                <c:pt idx="3">
                  <c:v>0.3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779-4378-8FA1-6F429CEA87BB}"/>
            </c:ext>
          </c:extLst>
        </c:ser>
        <c:ser>
          <c:idx val="7"/>
          <c:order val="7"/>
          <c:tx>
            <c:strRef>
              <c:f>'RT-75t '!$AX$87</c:f>
              <c:strCache>
                <c:ptCount val="1"/>
                <c:pt idx="0">
                  <c:v>沃尔沃
ECR18E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'RT-75t 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'RT-75t '!$AX$88:$AX$92</c:f>
              <c:numCache>
                <c:formatCode>General</c:formatCode>
                <c:ptCount val="5"/>
                <c:pt idx="0">
                  <c:v>1</c:v>
                </c:pt>
                <c:pt idx="1">
                  <c:v>0.7</c:v>
                </c:pt>
                <c:pt idx="2">
                  <c:v>1.1000000000000001</c:v>
                </c:pt>
                <c:pt idx="3">
                  <c:v>0.7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79-4378-8FA1-6F429CEA87BB}"/>
            </c:ext>
          </c:extLst>
        </c:ser>
        <c:ser>
          <c:idx val="8"/>
          <c:order val="8"/>
          <c:tx>
            <c:strRef>
              <c:f>'RT-75t '!$AY$87</c:f>
              <c:strCache>
                <c:ptCount val="1"/>
                <c:pt idx="0">
                  <c:v>现代
HX17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'RT-75t 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'RT-75t '!$AY$88:$AY$92</c:f>
              <c:numCache>
                <c:formatCode>General</c:formatCode>
                <c:ptCount val="5"/>
                <c:pt idx="0">
                  <c:v>0</c:v>
                </c:pt>
                <c:pt idx="1">
                  <c:v>1.7</c:v>
                </c:pt>
                <c:pt idx="2">
                  <c:v>0.4</c:v>
                </c:pt>
                <c:pt idx="3">
                  <c:v>2.2999999999999998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779-4378-8FA1-6F429CEA87BB}"/>
            </c:ext>
          </c:extLst>
        </c:ser>
        <c:ser>
          <c:idx val="9"/>
          <c:order val="9"/>
          <c:tx>
            <c:strRef>
              <c:f>'RT-75t '!$AZ$87</c:f>
              <c:strCache>
                <c:ptCount val="1"/>
                <c:pt idx="0">
                  <c:v>斗山
DX17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'RT-75t 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'RT-75t '!$AZ$88:$AZ$92</c:f>
              <c:numCache>
                <c:formatCode>General</c:formatCode>
                <c:ptCount val="5"/>
                <c:pt idx="0">
                  <c:v>0</c:v>
                </c:pt>
                <c:pt idx="1">
                  <c:v>0.4</c:v>
                </c:pt>
                <c:pt idx="2">
                  <c:v>0</c:v>
                </c:pt>
                <c:pt idx="3">
                  <c:v>1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779-4378-8FA1-6F429CEA87BB}"/>
            </c:ext>
          </c:extLst>
        </c:ser>
        <c:ser>
          <c:idx val="10"/>
          <c:order val="10"/>
          <c:tx>
            <c:strRef>
              <c:f>'RT-75t '!$BA$87</c:f>
              <c:strCache>
                <c:ptCount val="1"/>
                <c:pt idx="0">
                  <c:v>三一
SY18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'RT-75t 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'RT-75t '!$BA$88:$BA$92</c:f>
              <c:numCache>
                <c:formatCode>General</c:formatCode>
                <c:ptCount val="5"/>
                <c:pt idx="0">
                  <c:v>1.5</c:v>
                </c:pt>
                <c:pt idx="1">
                  <c:v>1.3</c:v>
                </c:pt>
                <c:pt idx="2">
                  <c:v>0.4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779-4378-8FA1-6F429CEA8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779471"/>
        <c:axId val="310782351"/>
      </c:radarChart>
      <c:catAx>
        <c:axId val="31077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82351"/>
        <c:crosses val="autoZero"/>
        <c:auto val="1"/>
        <c:lblAlgn val="ctr"/>
        <c:lblOffset val="100"/>
        <c:noMultiLvlLbl val="0"/>
      </c:catAx>
      <c:valAx>
        <c:axId val="31078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7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1~2</a:t>
            </a:r>
            <a:r>
              <a:rPr lang="zh-CN" altLang="en-US"/>
              <a:t>吨挖机产品性能参数评分雷达图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'RT-100t'!$AT$46</c:f>
              <c:strCache>
                <c:ptCount val="1"/>
                <c:pt idx="0">
                  <c:v>徐工
XE19U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11-4415-BEA5-AE39AE11898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11-4415-BEA5-AE39AE1189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11-4415-BEA5-AE39AE11898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11-4415-BEA5-AE39AE11898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11-4415-BEA5-AE39AE11898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11-4415-BEA5-AE39AE11898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11-4415-BEA5-AE39AE11898C}"/>
                </c:ext>
              </c:extLst>
            </c:dLbl>
            <c:dLbl>
              <c:idx val="10"/>
              <c:layout>
                <c:manualLayout>
                  <c:x val="-5.8304571677654252E-2"/>
                  <c:y val="0.1223957831382123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238030"/>
                        <a:gd name="adj2" fmla="val -9683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D611-4415-BEA5-AE39AE11898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'RT-100t'!$AS$47:$AS$57</c:f>
              <c:strCache>
                <c:ptCount val="11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5">
                  <c:v>Power</c:v>
                </c:pt>
                <c:pt idx="7">
                  <c:v>Hydraulic System</c:v>
                </c:pt>
                <c:pt idx="8">
                  <c:v>Travel</c:v>
                </c:pt>
                <c:pt idx="9">
                  <c:v>Swing</c:v>
                </c:pt>
                <c:pt idx="10">
                  <c:v>Digging Force</c:v>
                </c:pt>
              </c:strCache>
            </c:strRef>
          </c:cat>
          <c:val>
            <c:numRef>
              <c:f>'RT-100t'!$AT$47:$AT$57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3.3</c:v>
                </c:pt>
                <c:pt idx="5">
                  <c:v>5</c:v>
                </c:pt>
                <c:pt idx="7">
                  <c:v>3.3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11-4415-BEA5-AE39AE11898C}"/>
            </c:ext>
          </c:extLst>
        </c:ser>
        <c:ser>
          <c:idx val="1"/>
          <c:order val="1"/>
          <c:tx>
            <c:strRef>
              <c:f>'RT-100t'!$AU$46</c:f>
              <c:strCache>
                <c:ptCount val="1"/>
                <c:pt idx="0">
                  <c:v>卡特
301.7 CR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'RT-100t'!$AS$47:$AS$57</c:f>
              <c:strCache>
                <c:ptCount val="11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5">
                  <c:v>Power</c:v>
                </c:pt>
                <c:pt idx="7">
                  <c:v>Hydraulic System</c:v>
                </c:pt>
                <c:pt idx="8">
                  <c:v>Travel</c:v>
                </c:pt>
                <c:pt idx="9">
                  <c:v>Swing</c:v>
                </c:pt>
                <c:pt idx="10">
                  <c:v>Digging Force</c:v>
                </c:pt>
              </c:strCache>
            </c:strRef>
          </c:cat>
          <c:val>
            <c:numRef>
              <c:f>'RT-100t'!$AU$47:$AU$57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5">
                  <c:v>5</c:v>
                </c:pt>
                <c:pt idx="7">
                  <c:v>3.6</c:v>
                </c:pt>
                <c:pt idx="8">
                  <c:v>3.5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611-4415-BEA5-AE39AE118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88864"/>
        <c:axId val="186889344"/>
        <c:extLst>
          <c:ext xmlns:c15="http://schemas.microsoft.com/office/drawing/2012/chart" uri="{02D57815-91ED-43cb-92C2-25804820EDAC}">
            <c15:filteredRad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'RT-100t'!$AV$46</c15:sqref>
                        </c15:formulaRef>
                      </c:ext>
                    </c:extLst>
                    <c:strCache>
                      <c:ptCount val="1"/>
                      <c:pt idx="0">
                        <c:v>卡特
301.8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'RT-100t'!$AS$47:$AS$57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'RT-100t'!$AV$47:$AV$57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5</c:v>
                      </c:pt>
                      <c:pt idx="7">
                        <c:v>3.6</c:v>
                      </c:pt>
                      <c:pt idx="8">
                        <c:v>3.5</c:v>
                      </c:pt>
                      <c:pt idx="9">
                        <c:v>3</c:v>
                      </c:pt>
                      <c:pt idx="10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D611-4415-BEA5-AE39AE11898C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'RT-100t'!$AW$46</c15:sqref>
                        </c15:formulaRef>
                      </c:ext>
                    </c:extLst>
                    <c:strCache>
                      <c:ptCount val="1"/>
                      <c:pt idx="0">
                        <c:v>迪尔
17P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'RT-100t'!$AW$47:$AW$57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</c:v>
                      </c:pt>
                      <c:pt idx="1">
                        <c:v>3</c:v>
                      </c:pt>
                      <c:pt idx="2">
                        <c:v>3.3</c:v>
                      </c:pt>
                      <c:pt idx="5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3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611-4415-BEA5-AE39AE11898C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'RT-100t'!$AX$46</c15:sqref>
                        </c15:formulaRef>
                      </c:ext>
                    </c:extLst>
                    <c:strCache>
                      <c:ptCount val="1"/>
                      <c:pt idx="0">
                        <c:v>山猫
E20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'RT-100t'!$AX$47:$AX$57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</c:v>
                      </c:pt>
                      <c:pt idx="1">
                        <c:v>3</c:v>
                      </c:pt>
                      <c:pt idx="2">
                        <c:v>5</c:v>
                      </c:pt>
                      <c:pt idx="5">
                        <c:v>1</c:v>
                      </c:pt>
                      <c:pt idx="7">
                        <c:v>3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611-4415-BEA5-AE39AE11898C}"/>
                  </c:ext>
                </c:extLst>
              </c15:ser>
            </c15:filteredRadarSeries>
            <c15:filteredRad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'RT-100t'!$AY$46</c15:sqref>
                        </c15:formulaRef>
                      </c:ext>
                    </c:extLst>
                    <c:strCache>
                      <c:ptCount val="1"/>
                      <c:pt idx="0">
                        <c:v>久保田
U17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'RT-100t'!$AY$47:$AY$57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3.5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1</c:v>
                      </c:pt>
                      <c:pt idx="7">
                        <c:v>2.2999999999999998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611-4415-BEA5-AE39AE11898C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'RT-100t'!$AZ$46</c15:sqref>
                        </c15:formulaRef>
                      </c:ext>
                    </c:extLst>
                    <c:strCache>
                      <c:ptCount val="1"/>
                      <c:pt idx="0">
                        <c:v>久保田
KX018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'RT-100t'!$AZ$47:$AZ$57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1</c:v>
                      </c:pt>
                      <c:pt idx="7">
                        <c:v>2.2999999999999998</c:v>
                      </c:pt>
                      <c:pt idx="8">
                        <c:v>4.3</c:v>
                      </c:pt>
                      <c:pt idx="9">
                        <c:v>3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611-4415-BEA5-AE39AE11898C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'RT-100t'!$BA$46</c15:sqref>
                        </c15:formulaRef>
                      </c:ext>
                    </c:extLst>
                    <c:strCache>
                      <c:ptCount val="1"/>
                      <c:pt idx="0">
                        <c:v>沃尔沃
ECR18E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'RT-100t'!$BA$47:$BA$57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3.5</c:v>
                      </c:pt>
                      <c:pt idx="1">
                        <c:v>3</c:v>
                      </c:pt>
                      <c:pt idx="2">
                        <c:v>2.2000000000000002</c:v>
                      </c:pt>
                      <c:pt idx="5">
                        <c:v>1</c:v>
                      </c:pt>
                      <c:pt idx="7">
                        <c:v>1.7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611-4415-BEA5-AE39AE11898C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'RT-100t'!$BB$46</c15:sqref>
                        </c15:formulaRef>
                      </c:ext>
                    </c:extLst>
                    <c:strCache>
                      <c:ptCount val="1"/>
                      <c:pt idx="0">
                        <c:v>现代
HX17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'RT-100t'!$BB$47:$BB$57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</c:v>
                      </c:pt>
                      <c:pt idx="5">
                        <c:v>1</c:v>
                      </c:pt>
                      <c:pt idx="7">
                        <c:v>2.7</c:v>
                      </c:pt>
                      <c:pt idx="8">
                        <c:v>2.2999999999999998</c:v>
                      </c:pt>
                      <c:pt idx="9">
                        <c:v>1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611-4415-BEA5-AE39AE11898C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'RT-100t'!$BC$46</c15:sqref>
                        </c15:formulaRef>
                      </c:ext>
                    </c:extLst>
                    <c:strCache>
                      <c:ptCount val="1"/>
                      <c:pt idx="0">
                        <c:v>斗山
DX17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'RT-100t'!$BC$47:$BC$57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</c:v>
                      </c:pt>
                      <c:pt idx="5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1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611-4415-BEA5-AE39AE11898C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'RT-100t'!$BD$46</c15:sqref>
                        </c15:formulaRef>
                      </c:ext>
                    </c:extLst>
                    <c:strCache>
                      <c:ptCount val="1"/>
                      <c:pt idx="0">
                        <c:v>三一
SY18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'RT-100t'!$AS$47:$AS$57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'RT-100t'!$BD$47:$BD$57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3.8</c:v>
                      </c:pt>
                      <c:pt idx="5">
                        <c:v>3</c:v>
                      </c:pt>
                      <c:pt idx="7">
                        <c:v>3.8</c:v>
                      </c:pt>
                      <c:pt idx="8">
                        <c:v>2</c:v>
                      </c:pt>
                      <c:pt idx="9">
                        <c:v>5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D611-4415-BEA5-AE39AE11898C}"/>
                  </c:ext>
                </c:extLst>
              </c15:ser>
            </c15:filteredRadarSeries>
          </c:ext>
        </c:extLst>
      </c:radarChart>
      <c:catAx>
        <c:axId val="18688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9344"/>
        <c:crosses val="autoZero"/>
        <c:auto val="1"/>
        <c:lblAlgn val="ctr"/>
        <c:lblOffset val="100"/>
        <c:noMultiLvlLbl val="0"/>
      </c:catAx>
      <c:valAx>
        <c:axId val="1868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1~2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吨挖机产品标选配置评分雷达图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'RT-100t'!$AT$87</c:f>
              <c:strCache>
                <c:ptCount val="1"/>
                <c:pt idx="0">
                  <c:v>徐工
XE19U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7E-403B-A076-A64772BD550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7E-403B-A076-A64772BD550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7E-403B-A076-A64772BD550A}"/>
                </c:ext>
              </c:extLst>
            </c:dLbl>
            <c:dLbl>
              <c:idx val="3"/>
              <c:layout>
                <c:manualLayout>
                  <c:x val="-0.1388888888888889"/>
                  <c:y val="-6.8226120857699898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343751"/>
                        <a:gd name="adj2" fmla="val -126547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87E-403B-A076-A64772BD550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87E-403B-A076-A64772BD550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'RT-100t'!$AS$88:$AS$92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'RT-100t'!$AT$88:$AT$92</c:f>
              <c:numCache>
                <c:formatCode>General</c:formatCode>
                <c:ptCount val="5"/>
                <c:pt idx="0">
                  <c:v>0</c:v>
                </c:pt>
                <c:pt idx="1">
                  <c:v>0.6</c:v>
                </c:pt>
                <c:pt idx="2">
                  <c:v>0</c:v>
                </c:pt>
                <c:pt idx="3">
                  <c:v>2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7E-403B-A076-A64772BD550A}"/>
            </c:ext>
          </c:extLst>
        </c:ser>
        <c:ser>
          <c:idx val="1"/>
          <c:order val="1"/>
          <c:tx>
            <c:strRef>
              <c:f>'RT-100t'!$AU$87</c:f>
              <c:strCache>
                <c:ptCount val="1"/>
                <c:pt idx="0">
                  <c:v>卡特
301.7 CR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'RT-100t'!$AS$88:$AS$92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'RT-100t'!$AU$88:$AU$92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0.8</c:v>
                </c:pt>
                <c:pt idx="3">
                  <c:v>0.7</c:v>
                </c:pt>
                <c:pt idx="4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7E-403B-A076-A64772BD550A}"/>
            </c:ext>
          </c:extLst>
        </c:ser>
        <c:ser>
          <c:idx val="2"/>
          <c:order val="2"/>
          <c:tx>
            <c:strRef>
              <c:f>'RT-100t'!$AV$87</c:f>
              <c:strCache>
                <c:ptCount val="1"/>
                <c:pt idx="0">
                  <c:v>卡特
301.8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'RT-100t'!$AS$88:$AS$92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'RT-100t'!$AV$88:$AV$92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2.5</c:v>
                </c:pt>
                <c:pt idx="3">
                  <c:v>0.7</c:v>
                </c:pt>
                <c:pt idx="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7E-403B-A076-A64772BD550A}"/>
            </c:ext>
          </c:extLst>
        </c:ser>
        <c:ser>
          <c:idx val="3"/>
          <c:order val="3"/>
          <c:tx>
            <c:strRef>
              <c:f>'RT-100t'!$AW$87</c:f>
              <c:strCache>
                <c:ptCount val="1"/>
                <c:pt idx="0">
                  <c:v>迪尔
17P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'RT-100t'!$AS$88:$AS$92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'RT-100t'!$AW$88:$AW$92</c:f>
              <c:numCache>
                <c:formatCode>General</c:formatCode>
                <c:ptCount val="5"/>
                <c:pt idx="0">
                  <c:v>0</c:v>
                </c:pt>
                <c:pt idx="1">
                  <c:v>0.6</c:v>
                </c:pt>
                <c:pt idx="2">
                  <c:v>0.4</c:v>
                </c:pt>
                <c:pt idx="3">
                  <c:v>0.3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7E-403B-A076-A64772BD550A}"/>
            </c:ext>
          </c:extLst>
        </c:ser>
        <c:ser>
          <c:idx val="4"/>
          <c:order val="4"/>
          <c:tx>
            <c:strRef>
              <c:f>'RT-100t'!$AX$87</c:f>
              <c:strCache>
                <c:ptCount val="1"/>
                <c:pt idx="0">
                  <c:v>山猫
E20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'RT-100t'!$AS$88:$AS$92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'RT-100t'!$AX$88:$AX$92</c:f>
              <c:numCache>
                <c:formatCode>General</c:formatCode>
                <c:ptCount val="5"/>
                <c:pt idx="0">
                  <c:v>0.5</c:v>
                </c:pt>
                <c:pt idx="1">
                  <c:v>0.6</c:v>
                </c:pt>
                <c:pt idx="2">
                  <c:v>0.4</c:v>
                </c:pt>
                <c:pt idx="3">
                  <c:v>0</c:v>
                </c:pt>
                <c:pt idx="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7E-403B-A076-A64772BD550A}"/>
            </c:ext>
          </c:extLst>
        </c:ser>
        <c:ser>
          <c:idx val="5"/>
          <c:order val="5"/>
          <c:tx>
            <c:strRef>
              <c:f>'RT-100t'!$AY$87</c:f>
              <c:strCache>
                <c:ptCount val="1"/>
                <c:pt idx="0">
                  <c:v>久保田
U17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'RT-100t'!$AS$88:$AS$92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'RT-100t'!$AY$88:$AY$92</c:f>
              <c:numCache>
                <c:formatCode>General</c:formatCode>
                <c:ptCount val="5"/>
                <c:pt idx="0">
                  <c:v>1.5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7E-403B-A076-A64772BD550A}"/>
            </c:ext>
          </c:extLst>
        </c:ser>
        <c:ser>
          <c:idx val="6"/>
          <c:order val="6"/>
          <c:tx>
            <c:strRef>
              <c:f>'RT-100t'!$AZ$87</c:f>
              <c:strCache>
                <c:ptCount val="1"/>
                <c:pt idx="0">
                  <c:v>久保田
KX018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'RT-100t'!$AS$88:$AS$92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'RT-100t'!$AZ$88:$AZ$92</c:f>
              <c:numCache>
                <c:formatCode>General</c:formatCode>
                <c:ptCount val="5"/>
                <c:pt idx="0">
                  <c:v>1.5</c:v>
                </c:pt>
                <c:pt idx="1">
                  <c:v>0.9</c:v>
                </c:pt>
                <c:pt idx="2">
                  <c:v>1</c:v>
                </c:pt>
                <c:pt idx="3">
                  <c:v>0.3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87E-403B-A076-A64772BD550A}"/>
            </c:ext>
          </c:extLst>
        </c:ser>
        <c:ser>
          <c:idx val="7"/>
          <c:order val="7"/>
          <c:tx>
            <c:strRef>
              <c:f>'RT-100t'!$BA$87</c:f>
              <c:strCache>
                <c:ptCount val="1"/>
                <c:pt idx="0">
                  <c:v>沃尔沃
ECR18E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'RT-100t'!$AS$88:$AS$92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'RT-100t'!$BA$88:$BA$92</c:f>
              <c:numCache>
                <c:formatCode>General</c:formatCode>
                <c:ptCount val="5"/>
                <c:pt idx="0">
                  <c:v>1</c:v>
                </c:pt>
                <c:pt idx="1">
                  <c:v>0.7</c:v>
                </c:pt>
                <c:pt idx="2">
                  <c:v>1.1000000000000001</c:v>
                </c:pt>
                <c:pt idx="3">
                  <c:v>0.7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7E-403B-A076-A64772BD550A}"/>
            </c:ext>
          </c:extLst>
        </c:ser>
        <c:ser>
          <c:idx val="8"/>
          <c:order val="8"/>
          <c:tx>
            <c:strRef>
              <c:f>'RT-100t'!$BB$87</c:f>
              <c:strCache>
                <c:ptCount val="1"/>
                <c:pt idx="0">
                  <c:v>现代
HX17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'RT-100t'!$AS$88:$AS$92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'RT-100t'!$BB$88:$BB$92</c:f>
              <c:numCache>
                <c:formatCode>General</c:formatCode>
                <c:ptCount val="5"/>
                <c:pt idx="0">
                  <c:v>0</c:v>
                </c:pt>
                <c:pt idx="1">
                  <c:v>1.7</c:v>
                </c:pt>
                <c:pt idx="2">
                  <c:v>0.4</c:v>
                </c:pt>
                <c:pt idx="3">
                  <c:v>2.2999999999999998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87E-403B-A076-A64772BD550A}"/>
            </c:ext>
          </c:extLst>
        </c:ser>
        <c:ser>
          <c:idx val="9"/>
          <c:order val="9"/>
          <c:tx>
            <c:strRef>
              <c:f>'RT-100t'!$BC$87</c:f>
              <c:strCache>
                <c:ptCount val="1"/>
                <c:pt idx="0">
                  <c:v>斗山
DX17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'RT-100t'!$AS$88:$AS$92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'RT-100t'!$BC$88:$BC$92</c:f>
              <c:numCache>
                <c:formatCode>General</c:formatCode>
                <c:ptCount val="5"/>
                <c:pt idx="0">
                  <c:v>0</c:v>
                </c:pt>
                <c:pt idx="1">
                  <c:v>0.4</c:v>
                </c:pt>
                <c:pt idx="2">
                  <c:v>0</c:v>
                </c:pt>
                <c:pt idx="3">
                  <c:v>1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87E-403B-A076-A64772BD550A}"/>
            </c:ext>
          </c:extLst>
        </c:ser>
        <c:ser>
          <c:idx val="10"/>
          <c:order val="10"/>
          <c:tx>
            <c:strRef>
              <c:f>'RT-100t'!$BD$87</c:f>
              <c:strCache>
                <c:ptCount val="1"/>
                <c:pt idx="0">
                  <c:v>三一
SY18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'RT-100t'!$AS$88:$AS$92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'RT-100t'!$BD$88:$BD$92</c:f>
              <c:numCache>
                <c:formatCode>General</c:formatCode>
                <c:ptCount val="5"/>
                <c:pt idx="0">
                  <c:v>1.5</c:v>
                </c:pt>
                <c:pt idx="1">
                  <c:v>1.3</c:v>
                </c:pt>
                <c:pt idx="2">
                  <c:v>0.4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87E-403B-A076-A64772BD5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779471"/>
        <c:axId val="310782351"/>
      </c:radarChart>
      <c:catAx>
        <c:axId val="31077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82351"/>
        <c:crosses val="autoZero"/>
        <c:auto val="1"/>
        <c:lblAlgn val="ctr"/>
        <c:lblOffset val="100"/>
        <c:noMultiLvlLbl val="0"/>
      </c:catAx>
      <c:valAx>
        <c:axId val="31078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7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1~2</a:t>
            </a:r>
            <a:r>
              <a:rPr lang="zh-CN" altLang="en-US"/>
              <a:t>吨挖机产品性能参数评分雷达图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'RT-130t'!$AN$46</c:f>
              <c:strCache>
                <c:ptCount val="1"/>
                <c:pt idx="0">
                  <c:v>徐工
XE19U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10-42F9-BC0B-7863A8D38DF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10-42F9-BC0B-7863A8D38DF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10-42F9-BC0B-7863A8D38DF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10-42F9-BC0B-7863A8D38DF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10-42F9-BC0B-7863A8D38DF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10-42F9-BC0B-7863A8D38DF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810-42F9-BC0B-7863A8D38DF5}"/>
                </c:ext>
              </c:extLst>
            </c:dLbl>
            <c:dLbl>
              <c:idx val="10"/>
              <c:layout>
                <c:manualLayout>
                  <c:x val="-5.8304571677654252E-2"/>
                  <c:y val="0.1223957831382123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238030"/>
                        <a:gd name="adj2" fmla="val -9683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3810-42F9-BC0B-7863A8D38DF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'RT-130t'!$AM$47:$AM$57</c:f>
              <c:strCache>
                <c:ptCount val="11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5">
                  <c:v>Power</c:v>
                </c:pt>
                <c:pt idx="7">
                  <c:v>Hydraulic System</c:v>
                </c:pt>
                <c:pt idx="8">
                  <c:v>Travel</c:v>
                </c:pt>
                <c:pt idx="9">
                  <c:v>Swing</c:v>
                </c:pt>
                <c:pt idx="10">
                  <c:v>Digging Force</c:v>
                </c:pt>
              </c:strCache>
            </c:strRef>
          </c:cat>
          <c:val>
            <c:numRef>
              <c:f>'RT-130t'!$AN$47:$AN$57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3.3</c:v>
                </c:pt>
                <c:pt idx="5">
                  <c:v>5</c:v>
                </c:pt>
                <c:pt idx="7">
                  <c:v>3.3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10-42F9-BC0B-7863A8D38DF5}"/>
            </c:ext>
          </c:extLst>
        </c:ser>
        <c:ser>
          <c:idx val="1"/>
          <c:order val="1"/>
          <c:tx>
            <c:strRef>
              <c:f>'RT-130t'!$AO$46</c:f>
              <c:strCache>
                <c:ptCount val="1"/>
                <c:pt idx="0">
                  <c:v>卡特
301.7 CR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'RT-130t'!$AM$47:$AM$57</c:f>
              <c:strCache>
                <c:ptCount val="11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5">
                  <c:v>Power</c:v>
                </c:pt>
                <c:pt idx="7">
                  <c:v>Hydraulic System</c:v>
                </c:pt>
                <c:pt idx="8">
                  <c:v>Travel</c:v>
                </c:pt>
                <c:pt idx="9">
                  <c:v>Swing</c:v>
                </c:pt>
                <c:pt idx="10">
                  <c:v>Digging Force</c:v>
                </c:pt>
              </c:strCache>
            </c:strRef>
          </c:cat>
          <c:val>
            <c:numRef>
              <c:f>'RT-130t'!$AO$47:$AO$57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5">
                  <c:v>5</c:v>
                </c:pt>
                <c:pt idx="7">
                  <c:v>3.6</c:v>
                </c:pt>
                <c:pt idx="8">
                  <c:v>3.5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10-42F9-BC0B-7863A8D38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88864"/>
        <c:axId val="186889344"/>
        <c:extLst>
          <c:ext xmlns:c15="http://schemas.microsoft.com/office/drawing/2012/chart" uri="{02D57815-91ED-43cb-92C2-25804820EDAC}">
            <c15:filteredRad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'RT-130t'!$AP$46</c15:sqref>
                        </c15:formulaRef>
                      </c:ext>
                    </c:extLst>
                    <c:strCache>
                      <c:ptCount val="1"/>
                      <c:pt idx="0">
                        <c:v>卡特
301.8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'RT-130t'!$AM$47:$AM$57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'RT-130t'!$AP$47:$AP$57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5</c:v>
                      </c:pt>
                      <c:pt idx="7">
                        <c:v>3.6</c:v>
                      </c:pt>
                      <c:pt idx="8">
                        <c:v>3.5</c:v>
                      </c:pt>
                      <c:pt idx="9">
                        <c:v>3</c:v>
                      </c:pt>
                      <c:pt idx="10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3810-42F9-BC0B-7863A8D38DF5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'RT-130t'!$AQ$46</c15:sqref>
                        </c15:formulaRef>
                      </c:ext>
                    </c:extLst>
                    <c:strCache>
                      <c:ptCount val="1"/>
                      <c:pt idx="0">
                        <c:v>迪尔
17P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'RT-130t'!$AM$47:$AM$57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'RT-130t'!$AQ$47:$AQ$57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</c:v>
                      </c:pt>
                      <c:pt idx="1">
                        <c:v>3</c:v>
                      </c:pt>
                      <c:pt idx="2">
                        <c:v>3.3</c:v>
                      </c:pt>
                      <c:pt idx="5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3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810-42F9-BC0B-7863A8D38DF5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'RT-130t'!$AR$46</c15:sqref>
                        </c15:formulaRef>
                      </c:ext>
                    </c:extLst>
                    <c:strCache>
                      <c:ptCount val="1"/>
                      <c:pt idx="0">
                        <c:v>山猫
E20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'RT-130t'!$AM$47:$AM$57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'RT-130t'!$AR$47:$AR$57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</c:v>
                      </c:pt>
                      <c:pt idx="1">
                        <c:v>3</c:v>
                      </c:pt>
                      <c:pt idx="2">
                        <c:v>5</c:v>
                      </c:pt>
                      <c:pt idx="5">
                        <c:v>1</c:v>
                      </c:pt>
                      <c:pt idx="7">
                        <c:v>3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810-42F9-BC0B-7863A8D38DF5}"/>
                  </c:ext>
                </c:extLst>
              </c15:ser>
            </c15:filteredRadarSeries>
            <c15:filteredRad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'RT-130t'!$AS$46</c15:sqref>
                        </c15:formulaRef>
                      </c:ext>
                    </c:extLst>
                    <c:strCache>
                      <c:ptCount val="1"/>
                      <c:pt idx="0">
                        <c:v>久保田
U17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'RT-130t'!$AM$47:$AM$57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'RT-130t'!$AS$47:$AS$57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3.5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1</c:v>
                      </c:pt>
                      <c:pt idx="7">
                        <c:v>2.2999999999999998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810-42F9-BC0B-7863A8D38DF5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'RT-130t'!$AT$46</c15:sqref>
                        </c15:formulaRef>
                      </c:ext>
                    </c:extLst>
                    <c:strCache>
                      <c:ptCount val="1"/>
                      <c:pt idx="0">
                        <c:v>久保田
KX018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'RT-130t'!$AM$47:$AM$57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'RT-130t'!$AT$47:$AT$57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1</c:v>
                      </c:pt>
                      <c:pt idx="7">
                        <c:v>2.2999999999999998</c:v>
                      </c:pt>
                      <c:pt idx="8">
                        <c:v>4.3</c:v>
                      </c:pt>
                      <c:pt idx="9">
                        <c:v>3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3810-42F9-BC0B-7863A8D38DF5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'RT-130t'!$AU$46</c15:sqref>
                        </c15:formulaRef>
                      </c:ext>
                    </c:extLst>
                    <c:strCache>
                      <c:ptCount val="1"/>
                      <c:pt idx="0">
                        <c:v>沃尔沃
ECR18E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'RT-130t'!$AM$47:$AM$57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'RT-130t'!$AU$47:$AU$57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3.5</c:v>
                      </c:pt>
                      <c:pt idx="1">
                        <c:v>3</c:v>
                      </c:pt>
                      <c:pt idx="2">
                        <c:v>2.2000000000000002</c:v>
                      </c:pt>
                      <c:pt idx="5">
                        <c:v>1</c:v>
                      </c:pt>
                      <c:pt idx="7">
                        <c:v>1.7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3810-42F9-BC0B-7863A8D38DF5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'RT-130t'!$AV$46</c15:sqref>
                        </c15:formulaRef>
                      </c:ext>
                    </c:extLst>
                    <c:strCache>
                      <c:ptCount val="1"/>
                      <c:pt idx="0">
                        <c:v>现代
HX17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'RT-130t'!$AM$47:$AM$57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'RT-130t'!$AV$47:$AV$57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</c:v>
                      </c:pt>
                      <c:pt idx="5">
                        <c:v>1</c:v>
                      </c:pt>
                      <c:pt idx="7">
                        <c:v>2.7</c:v>
                      </c:pt>
                      <c:pt idx="8">
                        <c:v>2.2999999999999998</c:v>
                      </c:pt>
                      <c:pt idx="9">
                        <c:v>1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3810-42F9-BC0B-7863A8D38DF5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'RT-130t'!$AW$46</c15:sqref>
                        </c15:formulaRef>
                      </c:ext>
                    </c:extLst>
                    <c:strCache>
                      <c:ptCount val="1"/>
                      <c:pt idx="0">
                        <c:v>斗山
DX17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'RT-130t'!$AM$47:$AM$57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'RT-130t'!$AW$47:$AW$57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</c:v>
                      </c:pt>
                      <c:pt idx="5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1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3810-42F9-BC0B-7863A8D38DF5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'RT-130t'!$AX$46</c15:sqref>
                        </c15:formulaRef>
                      </c:ext>
                    </c:extLst>
                    <c:strCache>
                      <c:ptCount val="1"/>
                      <c:pt idx="0">
                        <c:v>三一
SY18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'RT-130t'!$AM$47:$AM$57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'RT-130t'!$AX$47:$AX$57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3.8</c:v>
                      </c:pt>
                      <c:pt idx="5">
                        <c:v>3</c:v>
                      </c:pt>
                      <c:pt idx="7">
                        <c:v>3.8</c:v>
                      </c:pt>
                      <c:pt idx="8">
                        <c:v>2</c:v>
                      </c:pt>
                      <c:pt idx="9">
                        <c:v>5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3810-42F9-BC0B-7863A8D38DF5}"/>
                  </c:ext>
                </c:extLst>
              </c15:ser>
            </c15:filteredRadarSeries>
          </c:ext>
        </c:extLst>
      </c:radarChart>
      <c:catAx>
        <c:axId val="18688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9344"/>
        <c:crosses val="autoZero"/>
        <c:auto val="1"/>
        <c:lblAlgn val="ctr"/>
        <c:lblOffset val="100"/>
        <c:noMultiLvlLbl val="0"/>
      </c:catAx>
      <c:valAx>
        <c:axId val="1868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1~2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吨挖机产品标选配置评分雷达图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'RT-130t'!$AN$87</c:f>
              <c:strCache>
                <c:ptCount val="1"/>
                <c:pt idx="0">
                  <c:v>徐工
XE19U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BA-45DB-9AEA-BF688F26574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BA-45DB-9AEA-BF688F26574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BA-45DB-9AEA-BF688F265748}"/>
                </c:ext>
              </c:extLst>
            </c:dLbl>
            <c:dLbl>
              <c:idx val="3"/>
              <c:layout>
                <c:manualLayout>
                  <c:x val="-0.1388888888888889"/>
                  <c:y val="-6.8226120857699898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343751"/>
                        <a:gd name="adj2" fmla="val -126547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99BA-45DB-9AEA-BF688F26574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9BA-45DB-9AEA-BF688F26574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'RT-130t'!$AM$88:$AM$92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'RT-130t'!$AN$88:$AN$92</c:f>
              <c:numCache>
                <c:formatCode>General</c:formatCode>
                <c:ptCount val="5"/>
                <c:pt idx="0">
                  <c:v>0</c:v>
                </c:pt>
                <c:pt idx="1">
                  <c:v>0.6</c:v>
                </c:pt>
                <c:pt idx="2">
                  <c:v>0</c:v>
                </c:pt>
                <c:pt idx="3">
                  <c:v>2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BA-45DB-9AEA-BF688F265748}"/>
            </c:ext>
          </c:extLst>
        </c:ser>
        <c:ser>
          <c:idx val="1"/>
          <c:order val="1"/>
          <c:tx>
            <c:strRef>
              <c:f>'RT-130t'!$AO$87</c:f>
              <c:strCache>
                <c:ptCount val="1"/>
                <c:pt idx="0">
                  <c:v>卡特
301.7 CR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'RT-130t'!$AM$88:$AM$92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'RT-130t'!$AO$88:$AO$92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0.8</c:v>
                </c:pt>
                <c:pt idx="3">
                  <c:v>0.7</c:v>
                </c:pt>
                <c:pt idx="4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BA-45DB-9AEA-BF688F265748}"/>
            </c:ext>
          </c:extLst>
        </c:ser>
        <c:ser>
          <c:idx val="2"/>
          <c:order val="2"/>
          <c:tx>
            <c:strRef>
              <c:f>'RT-130t'!$AP$87</c:f>
              <c:strCache>
                <c:ptCount val="1"/>
                <c:pt idx="0">
                  <c:v>卡特
301.8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'RT-130t'!$AM$88:$AM$92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'RT-130t'!$AP$88:$AP$92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2.5</c:v>
                </c:pt>
                <c:pt idx="3">
                  <c:v>0.7</c:v>
                </c:pt>
                <c:pt idx="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BA-45DB-9AEA-BF688F265748}"/>
            </c:ext>
          </c:extLst>
        </c:ser>
        <c:ser>
          <c:idx val="3"/>
          <c:order val="3"/>
          <c:tx>
            <c:strRef>
              <c:f>'RT-130t'!$AQ$87</c:f>
              <c:strCache>
                <c:ptCount val="1"/>
                <c:pt idx="0">
                  <c:v>迪尔
17P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'RT-130t'!$AM$88:$AM$92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'RT-130t'!$AQ$88:$AQ$92</c:f>
              <c:numCache>
                <c:formatCode>General</c:formatCode>
                <c:ptCount val="5"/>
                <c:pt idx="0">
                  <c:v>0</c:v>
                </c:pt>
                <c:pt idx="1">
                  <c:v>0.6</c:v>
                </c:pt>
                <c:pt idx="2">
                  <c:v>0.4</c:v>
                </c:pt>
                <c:pt idx="3">
                  <c:v>0.3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BA-45DB-9AEA-BF688F265748}"/>
            </c:ext>
          </c:extLst>
        </c:ser>
        <c:ser>
          <c:idx val="4"/>
          <c:order val="4"/>
          <c:tx>
            <c:strRef>
              <c:f>'RT-130t'!$AR$87</c:f>
              <c:strCache>
                <c:ptCount val="1"/>
                <c:pt idx="0">
                  <c:v>山猫
E20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'RT-130t'!$AM$88:$AM$92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'RT-130t'!$AR$88:$AR$92</c:f>
              <c:numCache>
                <c:formatCode>General</c:formatCode>
                <c:ptCount val="5"/>
                <c:pt idx="0">
                  <c:v>0.5</c:v>
                </c:pt>
                <c:pt idx="1">
                  <c:v>0.6</c:v>
                </c:pt>
                <c:pt idx="2">
                  <c:v>0.4</c:v>
                </c:pt>
                <c:pt idx="3">
                  <c:v>0</c:v>
                </c:pt>
                <c:pt idx="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9BA-45DB-9AEA-BF688F265748}"/>
            </c:ext>
          </c:extLst>
        </c:ser>
        <c:ser>
          <c:idx val="5"/>
          <c:order val="5"/>
          <c:tx>
            <c:strRef>
              <c:f>'RT-130t'!$AS$87</c:f>
              <c:strCache>
                <c:ptCount val="1"/>
                <c:pt idx="0">
                  <c:v>久保田
U17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'RT-130t'!$AM$88:$AM$92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'RT-130t'!$AS$88:$AS$92</c:f>
              <c:numCache>
                <c:formatCode>General</c:formatCode>
                <c:ptCount val="5"/>
                <c:pt idx="0">
                  <c:v>1.5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BA-45DB-9AEA-BF688F265748}"/>
            </c:ext>
          </c:extLst>
        </c:ser>
        <c:ser>
          <c:idx val="6"/>
          <c:order val="6"/>
          <c:tx>
            <c:strRef>
              <c:f>'RT-130t'!$AT$87</c:f>
              <c:strCache>
                <c:ptCount val="1"/>
                <c:pt idx="0">
                  <c:v>久保田
KX018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'RT-130t'!$AM$88:$AM$92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'RT-130t'!$AT$88:$AT$92</c:f>
              <c:numCache>
                <c:formatCode>General</c:formatCode>
                <c:ptCount val="5"/>
                <c:pt idx="0">
                  <c:v>1.5</c:v>
                </c:pt>
                <c:pt idx="1">
                  <c:v>0.9</c:v>
                </c:pt>
                <c:pt idx="2">
                  <c:v>1</c:v>
                </c:pt>
                <c:pt idx="3">
                  <c:v>0.3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9BA-45DB-9AEA-BF688F265748}"/>
            </c:ext>
          </c:extLst>
        </c:ser>
        <c:ser>
          <c:idx val="7"/>
          <c:order val="7"/>
          <c:tx>
            <c:strRef>
              <c:f>'RT-130t'!$AU$87</c:f>
              <c:strCache>
                <c:ptCount val="1"/>
                <c:pt idx="0">
                  <c:v>沃尔沃
ECR18E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'RT-130t'!$AM$88:$AM$92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'RT-130t'!$AU$88:$AU$92</c:f>
              <c:numCache>
                <c:formatCode>General</c:formatCode>
                <c:ptCount val="5"/>
                <c:pt idx="0">
                  <c:v>1</c:v>
                </c:pt>
                <c:pt idx="1">
                  <c:v>0.7</c:v>
                </c:pt>
                <c:pt idx="2">
                  <c:v>1.1000000000000001</c:v>
                </c:pt>
                <c:pt idx="3">
                  <c:v>0.7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9BA-45DB-9AEA-BF688F265748}"/>
            </c:ext>
          </c:extLst>
        </c:ser>
        <c:ser>
          <c:idx val="8"/>
          <c:order val="8"/>
          <c:tx>
            <c:strRef>
              <c:f>'RT-130t'!$AV$87</c:f>
              <c:strCache>
                <c:ptCount val="1"/>
                <c:pt idx="0">
                  <c:v>现代
HX17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'RT-130t'!$AM$88:$AM$92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'RT-130t'!$AV$88:$AV$92</c:f>
              <c:numCache>
                <c:formatCode>General</c:formatCode>
                <c:ptCount val="5"/>
                <c:pt idx="0">
                  <c:v>0</c:v>
                </c:pt>
                <c:pt idx="1">
                  <c:v>1.7</c:v>
                </c:pt>
                <c:pt idx="2">
                  <c:v>0.4</c:v>
                </c:pt>
                <c:pt idx="3">
                  <c:v>2.2999999999999998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9BA-45DB-9AEA-BF688F265748}"/>
            </c:ext>
          </c:extLst>
        </c:ser>
        <c:ser>
          <c:idx val="9"/>
          <c:order val="9"/>
          <c:tx>
            <c:strRef>
              <c:f>'RT-130t'!$AW$87</c:f>
              <c:strCache>
                <c:ptCount val="1"/>
                <c:pt idx="0">
                  <c:v>斗山
DX17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'RT-130t'!$AM$88:$AM$92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'RT-130t'!$AW$88:$AW$92</c:f>
              <c:numCache>
                <c:formatCode>General</c:formatCode>
                <c:ptCount val="5"/>
                <c:pt idx="0">
                  <c:v>0</c:v>
                </c:pt>
                <c:pt idx="1">
                  <c:v>0.4</c:v>
                </c:pt>
                <c:pt idx="2">
                  <c:v>0</c:v>
                </c:pt>
                <c:pt idx="3">
                  <c:v>1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9BA-45DB-9AEA-BF688F265748}"/>
            </c:ext>
          </c:extLst>
        </c:ser>
        <c:ser>
          <c:idx val="10"/>
          <c:order val="10"/>
          <c:tx>
            <c:strRef>
              <c:f>'RT-130t'!$AX$87</c:f>
              <c:strCache>
                <c:ptCount val="1"/>
                <c:pt idx="0">
                  <c:v>三一
SY18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'RT-130t'!$AM$88:$AM$92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'RT-130t'!$AX$88:$AX$92</c:f>
              <c:numCache>
                <c:formatCode>General</c:formatCode>
                <c:ptCount val="5"/>
                <c:pt idx="0">
                  <c:v>1.5</c:v>
                </c:pt>
                <c:pt idx="1">
                  <c:v>1.3</c:v>
                </c:pt>
                <c:pt idx="2">
                  <c:v>0.4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9BA-45DB-9AEA-BF688F265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779471"/>
        <c:axId val="310782351"/>
      </c:radarChart>
      <c:catAx>
        <c:axId val="31077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82351"/>
        <c:crosses val="autoZero"/>
        <c:auto val="1"/>
        <c:lblAlgn val="ctr"/>
        <c:lblOffset val="100"/>
        <c:noMultiLvlLbl val="0"/>
      </c:catAx>
      <c:valAx>
        <c:axId val="31078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7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1~2</a:t>
            </a:r>
            <a:r>
              <a:rPr lang="zh-CN" altLang="en-US"/>
              <a:t>吨挖机产品性能参数评分雷达图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'RT-160t'!$AQ$46</c:f>
              <c:strCache>
                <c:ptCount val="1"/>
                <c:pt idx="0">
                  <c:v>徐工
XE19U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9D5-4ED1-A70D-35D08E52C15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D5-4ED1-A70D-35D08E52C15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D5-4ED1-A70D-35D08E52C15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D5-4ED1-A70D-35D08E52C15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D5-4ED1-A70D-35D08E52C15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D5-4ED1-A70D-35D08E52C15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C7-4663-9EAA-641415B87052}"/>
                </c:ext>
              </c:extLst>
            </c:dLbl>
            <c:dLbl>
              <c:idx val="10"/>
              <c:layout>
                <c:manualLayout>
                  <c:x val="-5.8304571677654252E-2"/>
                  <c:y val="0.1223957831382123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238030"/>
                        <a:gd name="adj2" fmla="val -9683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ADC7-4663-9EAA-641415B8705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'RT-160t'!$AP$47:$AP$57</c:f>
              <c:strCache>
                <c:ptCount val="11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5">
                  <c:v>Power</c:v>
                </c:pt>
                <c:pt idx="7">
                  <c:v>Hydraulic System</c:v>
                </c:pt>
                <c:pt idx="8">
                  <c:v>Travel</c:v>
                </c:pt>
                <c:pt idx="9">
                  <c:v>Swing</c:v>
                </c:pt>
                <c:pt idx="10">
                  <c:v>Digging Force</c:v>
                </c:pt>
              </c:strCache>
            </c:strRef>
          </c:cat>
          <c:val>
            <c:numRef>
              <c:f>'RT-160t'!$AQ$47:$AQ$57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3.3</c:v>
                </c:pt>
                <c:pt idx="5">
                  <c:v>5</c:v>
                </c:pt>
                <c:pt idx="7">
                  <c:v>3.3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D5-4ED1-A70D-35D08E52C15B}"/>
            </c:ext>
          </c:extLst>
        </c:ser>
        <c:ser>
          <c:idx val="1"/>
          <c:order val="1"/>
          <c:tx>
            <c:strRef>
              <c:f>'RT-160t'!$AR$46</c:f>
              <c:strCache>
                <c:ptCount val="1"/>
                <c:pt idx="0">
                  <c:v>卡特
301.7 CR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'RT-160t'!$AP$47:$AP$57</c:f>
              <c:strCache>
                <c:ptCount val="11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5">
                  <c:v>Power</c:v>
                </c:pt>
                <c:pt idx="7">
                  <c:v>Hydraulic System</c:v>
                </c:pt>
                <c:pt idx="8">
                  <c:v>Travel</c:v>
                </c:pt>
                <c:pt idx="9">
                  <c:v>Swing</c:v>
                </c:pt>
                <c:pt idx="10">
                  <c:v>Digging Force</c:v>
                </c:pt>
              </c:strCache>
            </c:strRef>
          </c:cat>
          <c:val>
            <c:numRef>
              <c:f>'RT-160t'!$AR$47:$AR$57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5">
                  <c:v>5</c:v>
                </c:pt>
                <c:pt idx="7">
                  <c:v>3.6</c:v>
                </c:pt>
                <c:pt idx="8">
                  <c:v>3.5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D5-4ED1-A70D-35D08E52C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88864"/>
        <c:axId val="186889344"/>
        <c:extLst>
          <c:ext xmlns:c15="http://schemas.microsoft.com/office/drawing/2012/chart" uri="{02D57815-91ED-43cb-92C2-25804820EDAC}">
            <c15:filteredRad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'RT-160t'!$AS$46</c15:sqref>
                        </c15:formulaRef>
                      </c:ext>
                    </c:extLst>
                    <c:strCache>
                      <c:ptCount val="1"/>
                      <c:pt idx="0">
                        <c:v>卡特
301.8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'RT-160t'!$AP$47:$AP$57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'RT-160t'!$AS$47:$AS$57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5</c:v>
                      </c:pt>
                      <c:pt idx="7">
                        <c:v>3.6</c:v>
                      </c:pt>
                      <c:pt idx="8">
                        <c:v>3.5</c:v>
                      </c:pt>
                      <c:pt idx="9">
                        <c:v>3</c:v>
                      </c:pt>
                      <c:pt idx="10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A9D5-4ED1-A70D-35D08E52C15B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'RT-160t'!$AT$46</c15:sqref>
                        </c15:formulaRef>
                      </c:ext>
                    </c:extLst>
                    <c:strCache>
                      <c:ptCount val="1"/>
                      <c:pt idx="0">
                        <c:v>迪尔
17P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'RT-160t'!$AT$47:$AT$57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</c:v>
                      </c:pt>
                      <c:pt idx="1">
                        <c:v>3</c:v>
                      </c:pt>
                      <c:pt idx="2">
                        <c:v>3.3</c:v>
                      </c:pt>
                      <c:pt idx="5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3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9D5-4ED1-A70D-35D08E52C15B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'RT-160t'!$AU$46</c15:sqref>
                        </c15:formulaRef>
                      </c:ext>
                    </c:extLst>
                    <c:strCache>
                      <c:ptCount val="1"/>
                      <c:pt idx="0">
                        <c:v>山猫
E20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'RT-160t'!$AU$47:$AU$57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</c:v>
                      </c:pt>
                      <c:pt idx="1">
                        <c:v>3</c:v>
                      </c:pt>
                      <c:pt idx="2">
                        <c:v>5</c:v>
                      </c:pt>
                      <c:pt idx="5">
                        <c:v>1</c:v>
                      </c:pt>
                      <c:pt idx="7">
                        <c:v>3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9D5-4ED1-A70D-35D08E52C15B}"/>
                  </c:ext>
                </c:extLst>
              </c15:ser>
            </c15:filteredRadarSeries>
            <c15:filteredRad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'RT-160t'!$AV$46</c15:sqref>
                        </c15:formulaRef>
                      </c:ext>
                    </c:extLst>
                    <c:strCache>
                      <c:ptCount val="1"/>
                      <c:pt idx="0">
                        <c:v>久保田
U17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'RT-160t'!$AV$47:$AV$57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3.5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1</c:v>
                      </c:pt>
                      <c:pt idx="7">
                        <c:v>2.2999999999999998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9D5-4ED1-A70D-35D08E52C15B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'RT-160t'!$AW$46</c15:sqref>
                        </c15:formulaRef>
                      </c:ext>
                    </c:extLst>
                    <c:strCache>
                      <c:ptCount val="1"/>
                      <c:pt idx="0">
                        <c:v>久保田
KX018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'RT-160t'!$AW$47:$AW$57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1</c:v>
                      </c:pt>
                      <c:pt idx="7">
                        <c:v>2.2999999999999998</c:v>
                      </c:pt>
                      <c:pt idx="8">
                        <c:v>4.3</c:v>
                      </c:pt>
                      <c:pt idx="9">
                        <c:v>3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9D5-4ED1-A70D-35D08E52C15B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'RT-160t'!$AX$46</c15:sqref>
                        </c15:formulaRef>
                      </c:ext>
                    </c:extLst>
                    <c:strCache>
                      <c:ptCount val="1"/>
                      <c:pt idx="0">
                        <c:v>沃尔沃
ECR18E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'RT-160t'!$AX$47:$AX$57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3.5</c:v>
                      </c:pt>
                      <c:pt idx="1">
                        <c:v>3</c:v>
                      </c:pt>
                      <c:pt idx="2">
                        <c:v>2.2000000000000002</c:v>
                      </c:pt>
                      <c:pt idx="5">
                        <c:v>1</c:v>
                      </c:pt>
                      <c:pt idx="7">
                        <c:v>1.7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9D5-4ED1-A70D-35D08E52C15B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'RT-160t'!$AY$46</c15:sqref>
                        </c15:formulaRef>
                      </c:ext>
                    </c:extLst>
                    <c:strCache>
                      <c:ptCount val="1"/>
                      <c:pt idx="0">
                        <c:v>现代
HX17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'RT-160t'!$AY$47:$AY$57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</c:v>
                      </c:pt>
                      <c:pt idx="5">
                        <c:v>1</c:v>
                      </c:pt>
                      <c:pt idx="7">
                        <c:v>2.7</c:v>
                      </c:pt>
                      <c:pt idx="8">
                        <c:v>2.2999999999999998</c:v>
                      </c:pt>
                      <c:pt idx="9">
                        <c:v>1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9D5-4ED1-A70D-35D08E52C15B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'RT-160t'!$AZ$46</c15:sqref>
                        </c15:formulaRef>
                      </c:ext>
                    </c:extLst>
                    <c:strCache>
                      <c:ptCount val="1"/>
                      <c:pt idx="0">
                        <c:v>斗山
DX17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'RT-160t'!$AZ$47:$AZ$57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</c:v>
                      </c:pt>
                      <c:pt idx="5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1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9D5-4ED1-A70D-35D08E52C15B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'RT-160t'!$BA$46</c15:sqref>
                        </c15:formulaRef>
                      </c:ext>
                    </c:extLst>
                    <c:strCache>
                      <c:ptCount val="1"/>
                      <c:pt idx="0">
                        <c:v>三一
SY18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'RT-160t'!$AP$47:$AP$57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'RT-160t'!$BA$47:$BA$57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3.8</c:v>
                      </c:pt>
                      <c:pt idx="5">
                        <c:v>3</c:v>
                      </c:pt>
                      <c:pt idx="7">
                        <c:v>3.8</c:v>
                      </c:pt>
                      <c:pt idx="8">
                        <c:v>2</c:v>
                      </c:pt>
                      <c:pt idx="9">
                        <c:v>5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9D5-4ED1-A70D-35D08E52C15B}"/>
                  </c:ext>
                </c:extLst>
              </c15:ser>
            </c15:filteredRadarSeries>
          </c:ext>
        </c:extLst>
      </c:radarChart>
      <c:catAx>
        <c:axId val="18688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9344"/>
        <c:crosses val="autoZero"/>
        <c:auto val="1"/>
        <c:lblAlgn val="ctr"/>
        <c:lblOffset val="100"/>
        <c:noMultiLvlLbl val="0"/>
      </c:catAx>
      <c:valAx>
        <c:axId val="1868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1~2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吨挖机产品标选配置评分雷达图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'RT-160t'!$AQ$87</c:f>
              <c:strCache>
                <c:ptCount val="1"/>
                <c:pt idx="0">
                  <c:v>徐工
XE19U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51-4CE5-B62E-B3C7D0B3C52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51-4CE5-B62E-B3C7D0B3C52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151-4CE5-B62E-B3C7D0B3C528}"/>
                </c:ext>
              </c:extLst>
            </c:dLbl>
            <c:dLbl>
              <c:idx val="3"/>
              <c:layout>
                <c:manualLayout>
                  <c:x val="-0.1388888888888889"/>
                  <c:y val="-6.8226120857699898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343751"/>
                        <a:gd name="adj2" fmla="val -126547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F151-4CE5-B62E-B3C7D0B3C52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151-4CE5-B62E-B3C7D0B3C52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'RT-160t'!$AP$88:$AP$92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'RT-160t'!$AQ$88:$AQ$92</c:f>
              <c:numCache>
                <c:formatCode>General</c:formatCode>
                <c:ptCount val="5"/>
                <c:pt idx="0">
                  <c:v>0</c:v>
                </c:pt>
                <c:pt idx="1">
                  <c:v>0.6</c:v>
                </c:pt>
                <c:pt idx="2">
                  <c:v>0</c:v>
                </c:pt>
                <c:pt idx="3">
                  <c:v>2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51-4CE5-B62E-B3C7D0B3C528}"/>
            </c:ext>
          </c:extLst>
        </c:ser>
        <c:ser>
          <c:idx val="1"/>
          <c:order val="1"/>
          <c:tx>
            <c:strRef>
              <c:f>'RT-160t'!$AR$87</c:f>
              <c:strCache>
                <c:ptCount val="1"/>
                <c:pt idx="0">
                  <c:v>卡特
301.7 CR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'RT-160t'!$AP$88:$AP$92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'RT-160t'!$AR$88:$AR$92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0.8</c:v>
                </c:pt>
                <c:pt idx="3">
                  <c:v>0.7</c:v>
                </c:pt>
                <c:pt idx="4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51-4CE5-B62E-B3C7D0B3C528}"/>
            </c:ext>
          </c:extLst>
        </c:ser>
        <c:ser>
          <c:idx val="2"/>
          <c:order val="2"/>
          <c:tx>
            <c:strRef>
              <c:f>'RT-160t'!$AS$87</c:f>
              <c:strCache>
                <c:ptCount val="1"/>
                <c:pt idx="0">
                  <c:v>卡特
301.8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'RT-160t'!$AP$88:$AP$92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'RT-160t'!$AS$88:$AS$92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2.5</c:v>
                </c:pt>
                <c:pt idx="3">
                  <c:v>0.7</c:v>
                </c:pt>
                <c:pt idx="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151-4CE5-B62E-B3C7D0B3C528}"/>
            </c:ext>
          </c:extLst>
        </c:ser>
        <c:ser>
          <c:idx val="3"/>
          <c:order val="3"/>
          <c:tx>
            <c:strRef>
              <c:f>'RT-160t'!$AT$87</c:f>
              <c:strCache>
                <c:ptCount val="1"/>
                <c:pt idx="0">
                  <c:v>迪尔
17P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'RT-160t'!$AP$88:$AP$92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'RT-160t'!$AT$88:$AT$92</c:f>
              <c:numCache>
                <c:formatCode>General</c:formatCode>
                <c:ptCount val="5"/>
                <c:pt idx="0">
                  <c:v>0</c:v>
                </c:pt>
                <c:pt idx="1">
                  <c:v>0.6</c:v>
                </c:pt>
                <c:pt idx="2">
                  <c:v>0.4</c:v>
                </c:pt>
                <c:pt idx="3">
                  <c:v>0.3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1-4CE5-B62E-B3C7D0B3C528}"/>
            </c:ext>
          </c:extLst>
        </c:ser>
        <c:ser>
          <c:idx val="4"/>
          <c:order val="4"/>
          <c:tx>
            <c:strRef>
              <c:f>'RT-160t'!$AU$87</c:f>
              <c:strCache>
                <c:ptCount val="1"/>
                <c:pt idx="0">
                  <c:v>山猫
E20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'RT-160t'!$AP$88:$AP$92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'RT-160t'!$AU$88:$AU$92</c:f>
              <c:numCache>
                <c:formatCode>General</c:formatCode>
                <c:ptCount val="5"/>
                <c:pt idx="0">
                  <c:v>0.5</c:v>
                </c:pt>
                <c:pt idx="1">
                  <c:v>0.6</c:v>
                </c:pt>
                <c:pt idx="2">
                  <c:v>0.4</c:v>
                </c:pt>
                <c:pt idx="3">
                  <c:v>0</c:v>
                </c:pt>
                <c:pt idx="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151-4CE5-B62E-B3C7D0B3C528}"/>
            </c:ext>
          </c:extLst>
        </c:ser>
        <c:ser>
          <c:idx val="5"/>
          <c:order val="5"/>
          <c:tx>
            <c:strRef>
              <c:f>'RT-160t'!$AV$87</c:f>
              <c:strCache>
                <c:ptCount val="1"/>
                <c:pt idx="0">
                  <c:v>久保田
U17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'RT-160t'!$AP$88:$AP$92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'RT-160t'!$AV$88:$AV$92</c:f>
              <c:numCache>
                <c:formatCode>General</c:formatCode>
                <c:ptCount val="5"/>
                <c:pt idx="0">
                  <c:v>1.5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51-4CE5-B62E-B3C7D0B3C528}"/>
            </c:ext>
          </c:extLst>
        </c:ser>
        <c:ser>
          <c:idx val="6"/>
          <c:order val="6"/>
          <c:tx>
            <c:strRef>
              <c:f>'RT-160t'!$AW$87</c:f>
              <c:strCache>
                <c:ptCount val="1"/>
                <c:pt idx="0">
                  <c:v>久保田
KX018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'RT-160t'!$AP$88:$AP$92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'RT-160t'!$AW$88:$AW$92</c:f>
              <c:numCache>
                <c:formatCode>General</c:formatCode>
                <c:ptCount val="5"/>
                <c:pt idx="0">
                  <c:v>1.5</c:v>
                </c:pt>
                <c:pt idx="1">
                  <c:v>0.9</c:v>
                </c:pt>
                <c:pt idx="2">
                  <c:v>1</c:v>
                </c:pt>
                <c:pt idx="3">
                  <c:v>0.3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151-4CE5-B62E-B3C7D0B3C528}"/>
            </c:ext>
          </c:extLst>
        </c:ser>
        <c:ser>
          <c:idx val="7"/>
          <c:order val="7"/>
          <c:tx>
            <c:strRef>
              <c:f>'RT-160t'!$AX$87</c:f>
              <c:strCache>
                <c:ptCount val="1"/>
                <c:pt idx="0">
                  <c:v>沃尔沃
ECR18E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'RT-160t'!$AP$88:$AP$92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'RT-160t'!$AX$88:$AX$92</c:f>
              <c:numCache>
                <c:formatCode>General</c:formatCode>
                <c:ptCount val="5"/>
                <c:pt idx="0">
                  <c:v>1</c:v>
                </c:pt>
                <c:pt idx="1">
                  <c:v>0.7</c:v>
                </c:pt>
                <c:pt idx="2">
                  <c:v>1.1000000000000001</c:v>
                </c:pt>
                <c:pt idx="3">
                  <c:v>0.7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151-4CE5-B62E-B3C7D0B3C528}"/>
            </c:ext>
          </c:extLst>
        </c:ser>
        <c:ser>
          <c:idx val="8"/>
          <c:order val="8"/>
          <c:tx>
            <c:strRef>
              <c:f>'RT-160t'!$AY$87</c:f>
              <c:strCache>
                <c:ptCount val="1"/>
                <c:pt idx="0">
                  <c:v>现代
HX17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'RT-160t'!$AP$88:$AP$92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'RT-160t'!$AY$88:$AY$92</c:f>
              <c:numCache>
                <c:formatCode>General</c:formatCode>
                <c:ptCount val="5"/>
                <c:pt idx="0">
                  <c:v>0</c:v>
                </c:pt>
                <c:pt idx="1">
                  <c:v>1.7</c:v>
                </c:pt>
                <c:pt idx="2">
                  <c:v>0.4</c:v>
                </c:pt>
                <c:pt idx="3">
                  <c:v>2.2999999999999998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151-4CE5-B62E-B3C7D0B3C528}"/>
            </c:ext>
          </c:extLst>
        </c:ser>
        <c:ser>
          <c:idx val="9"/>
          <c:order val="9"/>
          <c:tx>
            <c:strRef>
              <c:f>'RT-160t'!$AZ$87</c:f>
              <c:strCache>
                <c:ptCount val="1"/>
                <c:pt idx="0">
                  <c:v>斗山
DX17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'RT-160t'!$AP$88:$AP$92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'RT-160t'!$AZ$88:$AZ$92</c:f>
              <c:numCache>
                <c:formatCode>General</c:formatCode>
                <c:ptCount val="5"/>
                <c:pt idx="0">
                  <c:v>0</c:v>
                </c:pt>
                <c:pt idx="1">
                  <c:v>0.4</c:v>
                </c:pt>
                <c:pt idx="2">
                  <c:v>0</c:v>
                </c:pt>
                <c:pt idx="3">
                  <c:v>1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151-4CE5-B62E-B3C7D0B3C528}"/>
            </c:ext>
          </c:extLst>
        </c:ser>
        <c:ser>
          <c:idx val="10"/>
          <c:order val="10"/>
          <c:tx>
            <c:strRef>
              <c:f>'RT-160t'!$BA$87</c:f>
              <c:strCache>
                <c:ptCount val="1"/>
                <c:pt idx="0">
                  <c:v>三一
SY18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'RT-160t'!$AP$88:$AP$92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'RT-160t'!$BA$88:$BA$92</c:f>
              <c:numCache>
                <c:formatCode>General</c:formatCode>
                <c:ptCount val="5"/>
                <c:pt idx="0">
                  <c:v>1.5</c:v>
                </c:pt>
                <c:pt idx="1">
                  <c:v>1.3</c:v>
                </c:pt>
                <c:pt idx="2">
                  <c:v>0.4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151-4CE5-B62E-B3C7D0B3C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779471"/>
        <c:axId val="310782351"/>
      </c:radarChart>
      <c:catAx>
        <c:axId val="31077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82351"/>
        <c:crosses val="autoZero"/>
        <c:auto val="1"/>
        <c:lblAlgn val="ctr"/>
        <c:lblOffset val="100"/>
        <c:noMultiLvlLbl val="0"/>
      </c:catAx>
      <c:valAx>
        <c:axId val="31078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7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1~2</a:t>
            </a:r>
            <a:r>
              <a:rPr lang="zh-CN" altLang="en-US"/>
              <a:t>吨挖机产品性能参数评分雷达图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'AT-150t'!$AN$53</c:f>
              <c:strCache>
                <c:ptCount val="1"/>
                <c:pt idx="0">
                  <c:v>徐工
XE19U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16-4037-91D9-E215BB5B2C4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16-4037-91D9-E215BB5B2C4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16-4037-91D9-E215BB5B2C4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16-4037-91D9-E215BB5B2C4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16-4037-91D9-E215BB5B2C4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16-4037-91D9-E215BB5B2C4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16-4037-91D9-E215BB5B2C4F}"/>
                </c:ext>
              </c:extLst>
            </c:dLbl>
            <c:dLbl>
              <c:idx val="10"/>
              <c:layout>
                <c:manualLayout>
                  <c:x val="-5.8304571677654252E-2"/>
                  <c:y val="0.1223957831382123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238030"/>
                        <a:gd name="adj2" fmla="val -9683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AD16-4037-91D9-E215BB5B2C4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'AT-150t'!$AM$54:$AM$64</c:f>
              <c:strCache>
                <c:ptCount val="11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5">
                  <c:v>Power</c:v>
                </c:pt>
                <c:pt idx="7">
                  <c:v>Hydraulic System</c:v>
                </c:pt>
                <c:pt idx="8">
                  <c:v>Travel</c:v>
                </c:pt>
                <c:pt idx="9">
                  <c:v>Swing</c:v>
                </c:pt>
                <c:pt idx="10">
                  <c:v>Digging Force</c:v>
                </c:pt>
              </c:strCache>
            </c:strRef>
          </c:cat>
          <c:val>
            <c:numRef>
              <c:f>'AT-150t'!$AN$54:$AN$64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3.3</c:v>
                </c:pt>
                <c:pt idx="5">
                  <c:v>5</c:v>
                </c:pt>
                <c:pt idx="7">
                  <c:v>3.3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16-4037-91D9-E215BB5B2C4F}"/>
            </c:ext>
          </c:extLst>
        </c:ser>
        <c:ser>
          <c:idx val="1"/>
          <c:order val="1"/>
          <c:tx>
            <c:strRef>
              <c:f>'AT-150t'!$AO$53</c:f>
              <c:strCache>
                <c:ptCount val="1"/>
                <c:pt idx="0">
                  <c:v>卡特
301.7 CR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'AT-150t'!$AM$54:$AM$64</c:f>
              <c:strCache>
                <c:ptCount val="11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5">
                  <c:v>Power</c:v>
                </c:pt>
                <c:pt idx="7">
                  <c:v>Hydraulic System</c:v>
                </c:pt>
                <c:pt idx="8">
                  <c:v>Travel</c:v>
                </c:pt>
                <c:pt idx="9">
                  <c:v>Swing</c:v>
                </c:pt>
                <c:pt idx="10">
                  <c:v>Digging Force</c:v>
                </c:pt>
              </c:strCache>
            </c:strRef>
          </c:cat>
          <c:val>
            <c:numRef>
              <c:f>'AT-150t'!$AO$54:$AO$64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5">
                  <c:v>5</c:v>
                </c:pt>
                <c:pt idx="7">
                  <c:v>3.6</c:v>
                </c:pt>
                <c:pt idx="8">
                  <c:v>3.5</c:v>
                </c:pt>
                <c:pt idx="9">
                  <c:v>3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D16-4037-91D9-E215BB5B2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88864"/>
        <c:axId val="186889344"/>
        <c:extLst>
          <c:ext xmlns:c15="http://schemas.microsoft.com/office/drawing/2012/chart" uri="{02D57815-91ED-43cb-92C2-25804820EDAC}">
            <c15:filteredRad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'AT-150t'!$AP$53</c15:sqref>
                        </c15:formulaRef>
                      </c:ext>
                    </c:extLst>
                    <c:strCache>
                      <c:ptCount val="1"/>
                      <c:pt idx="0">
                        <c:v>卡特
301.8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'AT-150t'!$AM$54:$AM$64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'AT-150t'!$AP$54:$AP$64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5</c:v>
                      </c:pt>
                      <c:pt idx="7">
                        <c:v>3.6</c:v>
                      </c:pt>
                      <c:pt idx="8">
                        <c:v>3.5</c:v>
                      </c:pt>
                      <c:pt idx="9">
                        <c:v>3</c:v>
                      </c:pt>
                      <c:pt idx="10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AD16-4037-91D9-E215BB5B2C4F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'AT-150t'!$AQ$53</c15:sqref>
                        </c15:formulaRef>
                      </c:ext>
                    </c:extLst>
                    <c:strCache>
                      <c:ptCount val="1"/>
                      <c:pt idx="0">
                        <c:v>迪尔
17P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'AT-150t'!$AM$54:$AM$64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'AT-150t'!$AQ$54:$AQ$64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</c:v>
                      </c:pt>
                      <c:pt idx="1">
                        <c:v>3</c:v>
                      </c:pt>
                      <c:pt idx="2">
                        <c:v>3.3</c:v>
                      </c:pt>
                      <c:pt idx="5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3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D16-4037-91D9-E215BB5B2C4F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'AT-150t'!$AR$53</c15:sqref>
                        </c15:formulaRef>
                      </c:ext>
                    </c:extLst>
                    <c:strCache>
                      <c:ptCount val="1"/>
                      <c:pt idx="0">
                        <c:v>山猫
E20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'AT-150t'!$AM$54:$AM$64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'AT-150t'!$AR$54:$AR$64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</c:v>
                      </c:pt>
                      <c:pt idx="1">
                        <c:v>3</c:v>
                      </c:pt>
                      <c:pt idx="2">
                        <c:v>5</c:v>
                      </c:pt>
                      <c:pt idx="5">
                        <c:v>1</c:v>
                      </c:pt>
                      <c:pt idx="7">
                        <c:v>3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D16-4037-91D9-E215BB5B2C4F}"/>
                  </c:ext>
                </c:extLst>
              </c15:ser>
            </c15:filteredRadarSeries>
            <c15:filteredRad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'AT-150t'!$AS$53</c15:sqref>
                        </c15:formulaRef>
                      </c:ext>
                    </c:extLst>
                    <c:strCache>
                      <c:ptCount val="1"/>
                      <c:pt idx="0">
                        <c:v>久保田
U17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'AT-150t'!$AM$54:$AM$64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'AT-150t'!$AS$54:$AS$64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3.5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1</c:v>
                      </c:pt>
                      <c:pt idx="7">
                        <c:v>2.2999999999999998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D16-4037-91D9-E215BB5B2C4F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'AT-150t'!$AT$53</c15:sqref>
                        </c15:formulaRef>
                      </c:ext>
                    </c:extLst>
                    <c:strCache>
                      <c:ptCount val="1"/>
                      <c:pt idx="0">
                        <c:v>久保田
KX018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'AT-150t'!$AM$54:$AM$64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'AT-150t'!$AT$54:$AT$64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</c:v>
                      </c:pt>
                      <c:pt idx="1">
                        <c:v>3</c:v>
                      </c:pt>
                      <c:pt idx="2">
                        <c:v>2.2999999999999998</c:v>
                      </c:pt>
                      <c:pt idx="5">
                        <c:v>1</c:v>
                      </c:pt>
                      <c:pt idx="7">
                        <c:v>2.2999999999999998</c:v>
                      </c:pt>
                      <c:pt idx="8">
                        <c:v>4.3</c:v>
                      </c:pt>
                      <c:pt idx="9">
                        <c:v>3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D16-4037-91D9-E215BB5B2C4F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'AT-150t'!$AU$53</c15:sqref>
                        </c15:formulaRef>
                      </c:ext>
                    </c:extLst>
                    <c:strCache>
                      <c:ptCount val="1"/>
                      <c:pt idx="0">
                        <c:v>沃尔沃
ECR18E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'AT-150t'!$AM$54:$AM$64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'AT-150t'!$AU$54:$AU$64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3.5</c:v>
                      </c:pt>
                      <c:pt idx="1">
                        <c:v>3</c:v>
                      </c:pt>
                      <c:pt idx="2">
                        <c:v>2.2000000000000002</c:v>
                      </c:pt>
                      <c:pt idx="5">
                        <c:v>1</c:v>
                      </c:pt>
                      <c:pt idx="7">
                        <c:v>1.7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D16-4037-91D9-E215BB5B2C4F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'AT-150t'!$AV$53</c15:sqref>
                        </c15:formulaRef>
                      </c:ext>
                    </c:extLst>
                    <c:strCache>
                      <c:ptCount val="1"/>
                      <c:pt idx="0">
                        <c:v>现代
HX17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'AT-150t'!$AM$54:$AM$64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'AT-150t'!$AV$54:$AV$64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</c:v>
                      </c:pt>
                      <c:pt idx="5">
                        <c:v>1</c:v>
                      </c:pt>
                      <c:pt idx="7">
                        <c:v>2.7</c:v>
                      </c:pt>
                      <c:pt idx="8">
                        <c:v>2.2999999999999998</c:v>
                      </c:pt>
                      <c:pt idx="9">
                        <c:v>1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D16-4037-91D9-E215BB5B2C4F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'AT-150t'!$AW$53</c15:sqref>
                        </c15:formulaRef>
                      </c:ext>
                    </c:extLst>
                    <c:strCache>
                      <c:ptCount val="1"/>
                      <c:pt idx="0">
                        <c:v>斗山
DX17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'AT-150t'!$AM$54:$AM$64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'AT-150t'!$AW$54:$AW$64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</c:v>
                      </c:pt>
                      <c:pt idx="5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1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D16-4037-91D9-E215BB5B2C4F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'AT-150t'!$AX$53</c15:sqref>
                        </c15:formulaRef>
                      </c:ext>
                    </c:extLst>
                    <c:strCache>
                      <c:ptCount val="1"/>
                      <c:pt idx="0">
                        <c:v>三一
SY18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'AT-150t'!$AM$54:$AM$64</c15:sqref>
                        </c15:formulaRef>
                      </c:ext>
                    </c:extLst>
                    <c:strCache>
                      <c:ptCount val="11"/>
                      <c:pt idx="0">
                        <c:v>Transport Parameters</c:v>
                      </c:pt>
                      <c:pt idx="1">
                        <c:v>Ground Parameters</c:v>
                      </c:pt>
                      <c:pt idx="2">
                        <c:v>Working Range</c:v>
                      </c:pt>
                      <c:pt idx="5">
                        <c:v>Power</c:v>
                      </c:pt>
                      <c:pt idx="7">
                        <c:v>Hydraulic System</c:v>
                      </c:pt>
                      <c:pt idx="8">
                        <c:v>Travel</c:v>
                      </c:pt>
                      <c:pt idx="9">
                        <c:v>Swing</c:v>
                      </c:pt>
                      <c:pt idx="10">
                        <c:v>Digging Force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'AT-150t'!$AX$54:$AX$64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2.5</c:v>
                      </c:pt>
                      <c:pt idx="1">
                        <c:v>3</c:v>
                      </c:pt>
                      <c:pt idx="2">
                        <c:v>3.8</c:v>
                      </c:pt>
                      <c:pt idx="5">
                        <c:v>3</c:v>
                      </c:pt>
                      <c:pt idx="7">
                        <c:v>3.8</c:v>
                      </c:pt>
                      <c:pt idx="8">
                        <c:v>2</c:v>
                      </c:pt>
                      <c:pt idx="9">
                        <c:v>5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D16-4037-91D9-E215BB5B2C4F}"/>
                  </c:ext>
                </c:extLst>
              </c15:ser>
            </c15:filteredRadarSeries>
          </c:ext>
        </c:extLst>
      </c:radarChart>
      <c:catAx>
        <c:axId val="18688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9344"/>
        <c:crosses val="autoZero"/>
        <c:auto val="1"/>
        <c:lblAlgn val="ctr"/>
        <c:lblOffset val="100"/>
        <c:noMultiLvlLbl val="0"/>
      </c:catAx>
      <c:valAx>
        <c:axId val="1868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1~2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吨挖机产品标选配置评分雷达图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'AT-150t'!$AN$94</c:f>
              <c:strCache>
                <c:ptCount val="1"/>
                <c:pt idx="0">
                  <c:v>徐工
XE19U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57-4707-9F0E-EBF3A2658D5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57-4707-9F0E-EBF3A2658D5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57-4707-9F0E-EBF3A2658D56}"/>
                </c:ext>
              </c:extLst>
            </c:dLbl>
            <c:dLbl>
              <c:idx val="3"/>
              <c:layout>
                <c:manualLayout>
                  <c:x val="-0.1388888888888889"/>
                  <c:y val="-6.8226120857699898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343751"/>
                        <a:gd name="adj2" fmla="val -126547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1057-4707-9F0E-EBF3A2658D5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57-4707-9F0E-EBF3A2658D5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'AT-150t'!$AM$95:$AM$99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'AT-150t'!$AN$95:$AN$99</c:f>
              <c:numCache>
                <c:formatCode>General</c:formatCode>
                <c:ptCount val="5"/>
                <c:pt idx="0">
                  <c:v>0</c:v>
                </c:pt>
                <c:pt idx="1">
                  <c:v>0.6</c:v>
                </c:pt>
                <c:pt idx="2">
                  <c:v>0</c:v>
                </c:pt>
                <c:pt idx="3">
                  <c:v>2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57-4707-9F0E-EBF3A2658D56}"/>
            </c:ext>
          </c:extLst>
        </c:ser>
        <c:ser>
          <c:idx val="1"/>
          <c:order val="1"/>
          <c:tx>
            <c:strRef>
              <c:f>'AT-150t'!$AO$94</c:f>
              <c:strCache>
                <c:ptCount val="1"/>
                <c:pt idx="0">
                  <c:v>卡特
301.7 CR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'AT-150t'!$AM$95:$AM$99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'AT-150t'!$AO$95:$AO$99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0.8</c:v>
                </c:pt>
                <c:pt idx="3">
                  <c:v>0.7</c:v>
                </c:pt>
                <c:pt idx="4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57-4707-9F0E-EBF3A2658D56}"/>
            </c:ext>
          </c:extLst>
        </c:ser>
        <c:ser>
          <c:idx val="2"/>
          <c:order val="2"/>
          <c:tx>
            <c:strRef>
              <c:f>'AT-150t'!$AP$94</c:f>
              <c:strCache>
                <c:ptCount val="1"/>
                <c:pt idx="0">
                  <c:v>卡特
301.8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'AT-150t'!$AM$95:$AM$99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'AT-150t'!$AP$95:$AP$99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2.5</c:v>
                </c:pt>
                <c:pt idx="3">
                  <c:v>0.7</c:v>
                </c:pt>
                <c:pt idx="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57-4707-9F0E-EBF3A2658D56}"/>
            </c:ext>
          </c:extLst>
        </c:ser>
        <c:ser>
          <c:idx val="3"/>
          <c:order val="3"/>
          <c:tx>
            <c:strRef>
              <c:f>'AT-150t'!$AQ$94</c:f>
              <c:strCache>
                <c:ptCount val="1"/>
                <c:pt idx="0">
                  <c:v>迪尔
17P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'AT-150t'!$AM$95:$AM$99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'AT-150t'!$AQ$95:$AQ$99</c:f>
              <c:numCache>
                <c:formatCode>General</c:formatCode>
                <c:ptCount val="5"/>
                <c:pt idx="0">
                  <c:v>0</c:v>
                </c:pt>
                <c:pt idx="1">
                  <c:v>0.6</c:v>
                </c:pt>
                <c:pt idx="2">
                  <c:v>0.4</c:v>
                </c:pt>
                <c:pt idx="3">
                  <c:v>0.3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57-4707-9F0E-EBF3A2658D56}"/>
            </c:ext>
          </c:extLst>
        </c:ser>
        <c:ser>
          <c:idx val="4"/>
          <c:order val="4"/>
          <c:tx>
            <c:strRef>
              <c:f>'AT-150t'!$AR$94</c:f>
              <c:strCache>
                <c:ptCount val="1"/>
                <c:pt idx="0">
                  <c:v>山猫
E20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'AT-150t'!$AM$95:$AM$99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'AT-150t'!$AR$95:$AR$99</c:f>
              <c:numCache>
                <c:formatCode>General</c:formatCode>
                <c:ptCount val="5"/>
                <c:pt idx="0">
                  <c:v>0.5</c:v>
                </c:pt>
                <c:pt idx="1">
                  <c:v>0.6</c:v>
                </c:pt>
                <c:pt idx="2">
                  <c:v>0.4</c:v>
                </c:pt>
                <c:pt idx="3">
                  <c:v>0</c:v>
                </c:pt>
                <c:pt idx="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57-4707-9F0E-EBF3A2658D56}"/>
            </c:ext>
          </c:extLst>
        </c:ser>
        <c:ser>
          <c:idx val="5"/>
          <c:order val="5"/>
          <c:tx>
            <c:strRef>
              <c:f>'AT-150t'!$AS$94</c:f>
              <c:strCache>
                <c:ptCount val="1"/>
                <c:pt idx="0">
                  <c:v>久保田
U17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'AT-150t'!$AM$95:$AM$99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'AT-150t'!$AS$95:$AS$99</c:f>
              <c:numCache>
                <c:formatCode>General</c:formatCode>
                <c:ptCount val="5"/>
                <c:pt idx="0">
                  <c:v>1.5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57-4707-9F0E-EBF3A2658D56}"/>
            </c:ext>
          </c:extLst>
        </c:ser>
        <c:ser>
          <c:idx val="6"/>
          <c:order val="6"/>
          <c:tx>
            <c:strRef>
              <c:f>'AT-150t'!$AT$94</c:f>
              <c:strCache>
                <c:ptCount val="1"/>
                <c:pt idx="0">
                  <c:v>久保田
KX018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'AT-150t'!$AM$95:$AM$99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'AT-150t'!$AT$95:$AT$99</c:f>
              <c:numCache>
                <c:formatCode>General</c:formatCode>
                <c:ptCount val="5"/>
                <c:pt idx="0">
                  <c:v>1.5</c:v>
                </c:pt>
                <c:pt idx="1">
                  <c:v>0.9</c:v>
                </c:pt>
                <c:pt idx="2">
                  <c:v>1</c:v>
                </c:pt>
                <c:pt idx="3">
                  <c:v>0.3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57-4707-9F0E-EBF3A2658D56}"/>
            </c:ext>
          </c:extLst>
        </c:ser>
        <c:ser>
          <c:idx val="7"/>
          <c:order val="7"/>
          <c:tx>
            <c:strRef>
              <c:f>'AT-150t'!$AU$94</c:f>
              <c:strCache>
                <c:ptCount val="1"/>
                <c:pt idx="0">
                  <c:v>沃尔沃
ECR18E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'AT-150t'!$AM$95:$AM$99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'AT-150t'!$AU$95:$AU$99</c:f>
              <c:numCache>
                <c:formatCode>General</c:formatCode>
                <c:ptCount val="5"/>
                <c:pt idx="0">
                  <c:v>1</c:v>
                </c:pt>
                <c:pt idx="1">
                  <c:v>0.7</c:v>
                </c:pt>
                <c:pt idx="2">
                  <c:v>1.1000000000000001</c:v>
                </c:pt>
                <c:pt idx="3">
                  <c:v>0.7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57-4707-9F0E-EBF3A2658D56}"/>
            </c:ext>
          </c:extLst>
        </c:ser>
        <c:ser>
          <c:idx val="8"/>
          <c:order val="8"/>
          <c:tx>
            <c:strRef>
              <c:f>'AT-150t'!$AV$94</c:f>
              <c:strCache>
                <c:ptCount val="1"/>
                <c:pt idx="0">
                  <c:v>现代
HX17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'AT-150t'!$AM$95:$AM$99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'AT-150t'!$AV$95:$AV$99</c:f>
              <c:numCache>
                <c:formatCode>General</c:formatCode>
                <c:ptCount val="5"/>
                <c:pt idx="0">
                  <c:v>0</c:v>
                </c:pt>
                <c:pt idx="1">
                  <c:v>1.7</c:v>
                </c:pt>
                <c:pt idx="2">
                  <c:v>0.4</c:v>
                </c:pt>
                <c:pt idx="3">
                  <c:v>2.2999999999999998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57-4707-9F0E-EBF3A2658D56}"/>
            </c:ext>
          </c:extLst>
        </c:ser>
        <c:ser>
          <c:idx val="9"/>
          <c:order val="9"/>
          <c:tx>
            <c:strRef>
              <c:f>'AT-150t'!$AW$94</c:f>
              <c:strCache>
                <c:ptCount val="1"/>
                <c:pt idx="0">
                  <c:v>斗山
DX17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'AT-150t'!$AM$95:$AM$99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'AT-150t'!$AW$95:$AW$99</c:f>
              <c:numCache>
                <c:formatCode>General</c:formatCode>
                <c:ptCount val="5"/>
                <c:pt idx="0">
                  <c:v>0</c:v>
                </c:pt>
                <c:pt idx="1">
                  <c:v>0.4</c:v>
                </c:pt>
                <c:pt idx="2">
                  <c:v>0</c:v>
                </c:pt>
                <c:pt idx="3">
                  <c:v>1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57-4707-9F0E-EBF3A2658D56}"/>
            </c:ext>
          </c:extLst>
        </c:ser>
        <c:ser>
          <c:idx val="10"/>
          <c:order val="10"/>
          <c:tx>
            <c:strRef>
              <c:f>'AT-150t'!$AX$94</c:f>
              <c:strCache>
                <c:ptCount val="1"/>
                <c:pt idx="0">
                  <c:v>三一
SY18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'AT-150t'!$AM$95:$AM$99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'AT-150t'!$AX$95:$AX$99</c:f>
              <c:numCache>
                <c:formatCode>General</c:formatCode>
                <c:ptCount val="5"/>
                <c:pt idx="0">
                  <c:v>1.5</c:v>
                </c:pt>
                <c:pt idx="1">
                  <c:v>1.3</c:v>
                </c:pt>
                <c:pt idx="2">
                  <c:v>0.4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057-4707-9F0E-EBF3A2658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779471"/>
        <c:axId val="310782351"/>
      </c:radarChart>
      <c:catAx>
        <c:axId val="31077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82351"/>
        <c:crosses val="autoZero"/>
        <c:auto val="1"/>
        <c:lblAlgn val="ctr"/>
        <c:lblOffset val="100"/>
        <c:noMultiLvlLbl val="0"/>
      </c:catAx>
      <c:valAx>
        <c:axId val="31078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7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5~6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吨挖机产品性能参数评分雷达图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'5-6'!$AK$21</c:f>
              <c:strCache>
                <c:ptCount val="1"/>
                <c:pt idx="0">
                  <c:v>徐工
XE55U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79-4373-AC32-4714DD2812C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79-4373-AC32-4714DD2812C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B79-4373-AC32-4714DD2812C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79-4373-AC32-4714DD2812CB}"/>
                </c:ext>
              </c:extLst>
            </c:dLbl>
            <c:dLbl>
              <c:idx val="4"/>
              <c:layout>
                <c:manualLayout>
                  <c:x val="9.7222222222222224E-2"/>
                  <c:y val="-4.1423001949317736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B79-4373-AC32-4714DD2812C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79-4373-AC32-4714DD2812C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79-4373-AC32-4714DD2812C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79-4373-AC32-4714DD2812C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79-4373-AC32-4714DD2812C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'5-6'!$AJ$22:$AJ$30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'5-6'!$AK$22:$AK$30</c:f>
              <c:numCache>
                <c:formatCode>General</c:formatCode>
                <c:ptCount val="9"/>
                <c:pt idx="0">
                  <c:v>2.5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3.7</c:v>
                </c:pt>
                <c:pt idx="5">
                  <c:v>2.5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6-4EF1-B510-463CC77DE5B4}"/>
            </c:ext>
          </c:extLst>
        </c:ser>
        <c:ser>
          <c:idx val="1"/>
          <c:order val="1"/>
          <c:tx>
            <c:strRef>
              <c:f>'5-6'!$AL$21</c:f>
              <c:strCache>
                <c:ptCount val="1"/>
                <c:pt idx="0">
                  <c:v>卡特
305 CR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'5-6'!$AJ$22:$AJ$30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'5-6'!$AL$22:$AL$30</c:f>
              <c:numCache>
                <c:formatCode>General</c:formatCode>
                <c:ptCount val="9"/>
                <c:pt idx="0">
                  <c:v>3.5</c:v>
                </c:pt>
                <c:pt idx="1">
                  <c:v>3</c:v>
                </c:pt>
                <c:pt idx="2">
                  <c:v>1.7</c:v>
                </c:pt>
                <c:pt idx="3">
                  <c:v>4</c:v>
                </c:pt>
                <c:pt idx="4">
                  <c:v>2.8</c:v>
                </c:pt>
                <c:pt idx="5">
                  <c:v>3.5</c:v>
                </c:pt>
                <c:pt idx="6">
                  <c:v>3</c:v>
                </c:pt>
                <c:pt idx="7">
                  <c:v>5</c:v>
                </c:pt>
                <c:pt idx="8">
                  <c:v>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76-4EF1-B510-463CC77DE5B4}"/>
            </c:ext>
          </c:extLst>
        </c:ser>
        <c:ser>
          <c:idx val="2"/>
          <c:order val="2"/>
          <c:tx>
            <c:strRef>
              <c:f>'5-6'!$AM$21</c:f>
              <c:strCache>
                <c:ptCount val="1"/>
                <c:pt idx="0">
                  <c:v>迪尔
50P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'5-6'!$AJ$22:$AJ$30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'5-6'!$AM$22:$AM$30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3.4</c:v>
                </c:pt>
                <c:pt idx="3">
                  <c:v>1</c:v>
                </c:pt>
                <c:pt idx="4">
                  <c:v>2.2999999999999998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76-4EF1-B510-463CC77DE5B4}"/>
            </c:ext>
          </c:extLst>
        </c:ser>
        <c:ser>
          <c:idx val="3"/>
          <c:order val="3"/>
          <c:tx>
            <c:strRef>
              <c:f>'5-6'!$AN$21</c:f>
              <c:strCache>
                <c:ptCount val="1"/>
                <c:pt idx="0">
                  <c:v>山猫
E55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'5-6'!$AJ$22:$AJ$30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'5-6'!$AN$22:$AN$30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2.2999999999999998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76-4EF1-B510-463CC77DE5B4}"/>
            </c:ext>
          </c:extLst>
        </c:ser>
        <c:ser>
          <c:idx val="4"/>
          <c:order val="4"/>
          <c:tx>
            <c:strRef>
              <c:f>'5-6'!$AO$21</c:f>
              <c:strCache>
                <c:ptCount val="1"/>
                <c:pt idx="0">
                  <c:v>久保田
U55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'5-6'!$AJ$22:$AJ$30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'5-6'!$AO$22:$AO$30</c:f>
              <c:numCache>
                <c:formatCode>General</c:formatCode>
                <c:ptCount val="9"/>
                <c:pt idx="0">
                  <c:v>2.5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76-4EF1-B510-463CC77DE5B4}"/>
            </c:ext>
          </c:extLst>
        </c:ser>
        <c:ser>
          <c:idx val="5"/>
          <c:order val="5"/>
          <c:tx>
            <c:strRef>
              <c:f>'5-6'!$AP$21</c:f>
              <c:strCache>
                <c:ptCount val="1"/>
                <c:pt idx="0">
                  <c:v>久保田
KX057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'5-6'!$AJ$22:$AJ$30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'5-6'!$AP$22:$AP$30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4.7</c:v>
                </c:pt>
                <c:pt idx="3">
                  <c:v>4</c:v>
                </c:pt>
                <c:pt idx="4">
                  <c:v>3</c:v>
                </c:pt>
                <c:pt idx="5">
                  <c:v>3.7</c:v>
                </c:pt>
                <c:pt idx="6">
                  <c:v>3</c:v>
                </c:pt>
                <c:pt idx="7">
                  <c:v>3</c:v>
                </c:pt>
                <c:pt idx="8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76-4EF1-B510-463CC77DE5B4}"/>
            </c:ext>
          </c:extLst>
        </c:ser>
        <c:ser>
          <c:idx val="6"/>
          <c:order val="6"/>
          <c:tx>
            <c:strRef>
              <c:f>'5-6'!$AQ$21</c:f>
              <c:strCache>
                <c:ptCount val="1"/>
                <c:pt idx="0">
                  <c:v>沃尔沃
ECR50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'5-6'!$AJ$22:$AJ$30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'5-6'!$AQ$22:$AQ$30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1.8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76-4EF1-B510-463CC77DE5B4}"/>
            </c:ext>
          </c:extLst>
        </c:ser>
        <c:ser>
          <c:idx val="7"/>
          <c:order val="7"/>
          <c:tx>
            <c:strRef>
              <c:f>'5-6'!$AR$21</c:f>
              <c:strCache>
                <c:ptCount val="1"/>
                <c:pt idx="0">
                  <c:v>现代
HX55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'5-6'!$AJ$22:$AJ$30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'5-6'!$AR$22:$AR$30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3.4</c:v>
                </c:pt>
                <c:pt idx="5">
                  <c:v>2.5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576-4EF1-B510-463CC77DE5B4}"/>
            </c:ext>
          </c:extLst>
        </c:ser>
        <c:ser>
          <c:idx val="8"/>
          <c:order val="8"/>
          <c:tx>
            <c:strRef>
              <c:f>'5-6'!$AS$21</c:f>
              <c:strCache>
                <c:ptCount val="1"/>
                <c:pt idx="0">
                  <c:v>斗山
DX55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'5-6'!$AJ$22:$AJ$30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'5-6'!$AS$22:$AS$30</c:f>
              <c:numCache>
                <c:formatCode>General</c:formatCode>
                <c:ptCount val="9"/>
                <c:pt idx="0">
                  <c:v>2.5</c:v>
                </c:pt>
                <c:pt idx="1">
                  <c:v>3</c:v>
                </c:pt>
                <c:pt idx="2">
                  <c:v>2.7</c:v>
                </c:pt>
                <c:pt idx="3">
                  <c:v>5</c:v>
                </c:pt>
                <c:pt idx="4">
                  <c:v>3</c:v>
                </c:pt>
                <c:pt idx="5">
                  <c:v>2.5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76-4EF1-B510-463CC77DE5B4}"/>
            </c:ext>
          </c:extLst>
        </c:ser>
        <c:ser>
          <c:idx val="9"/>
          <c:order val="9"/>
          <c:tx>
            <c:strRef>
              <c:f>'5-6'!$AT$21</c:f>
              <c:strCache>
                <c:ptCount val="1"/>
                <c:pt idx="0">
                  <c:v>三一
SY55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'5-6'!$AJ$22:$AJ$30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'5-6'!$AT$22:$AT$30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1.8</c:v>
                </c:pt>
                <c:pt idx="3">
                  <c:v>1</c:v>
                </c:pt>
                <c:pt idx="4">
                  <c:v>2.1</c:v>
                </c:pt>
                <c:pt idx="5">
                  <c:v>1.5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576-4EF1-B510-463CC77DE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439583"/>
        <c:axId val="1277434303"/>
      </c:radarChart>
      <c:catAx>
        <c:axId val="127743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34303"/>
        <c:crosses val="autoZero"/>
        <c:auto val="1"/>
        <c:lblAlgn val="ctr"/>
        <c:lblOffset val="100"/>
        <c:noMultiLvlLbl val="0"/>
      </c:catAx>
      <c:valAx>
        <c:axId val="127743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39583"/>
        <c:crossesAt val="0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5~6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吨挖机产品标选配置评分雷达图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'5-6'!$AK$61</c:f>
              <c:strCache>
                <c:ptCount val="1"/>
                <c:pt idx="0">
                  <c:v>徐工
XE55U</c:v>
                </c:pt>
              </c:strCache>
            </c:strRef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51C-42F9-AA8A-583F07F6017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51C-42F9-AA8A-583F07F6017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51C-42F9-AA8A-583F07F60172}"/>
                </c:ext>
              </c:extLst>
            </c:dLbl>
            <c:dLbl>
              <c:idx val="3"/>
              <c:layout>
                <c:manualLayout>
                  <c:x val="0.11706349206349206"/>
                  <c:y val="0.11695906432748537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58145"/>
                        <a:gd name="adj2" fmla="val -291669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E-E51C-42F9-AA8A-583F07F6017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51C-42F9-AA8A-583F07F6017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'5-6'!$AJ$62:$AJ$66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'5-6'!$AK$62:$AK$66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0.7</c:v>
                </c:pt>
                <c:pt idx="3">
                  <c:v>0.8</c:v>
                </c:pt>
                <c:pt idx="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C-42F9-AA8A-583F07F60172}"/>
            </c:ext>
          </c:extLst>
        </c:ser>
        <c:ser>
          <c:idx val="1"/>
          <c:order val="1"/>
          <c:tx>
            <c:strRef>
              <c:f>'5-6'!$AL$61</c:f>
              <c:strCache>
                <c:ptCount val="1"/>
                <c:pt idx="0">
                  <c:v>卡特
305 CR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'5-6'!$AJ$62:$AJ$66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'5-6'!$AL$62:$AL$66</c:f>
              <c:numCache>
                <c:formatCode>General</c:formatCode>
                <c:ptCount val="5"/>
                <c:pt idx="0">
                  <c:v>1</c:v>
                </c:pt>
                <c:pt idx="1">
                  <c:v>1.9</c:v>
                </c:pt>
                <c:pt idx="2">
                  <c:v>1.5</c:v>
                </c:pt>
                <c:pt idx="3">
                  <c:v>2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1C-42F9-AA8A-583F07F60172}"/>
            </c:ext>
          </c:extLst>
        </c:ser>
        <c:ser>
          <c:idx val="2"/>
          <c:order val="2"/>
          <c:tx>
            <c:strRef>
              <c:f>'5-6'!$AM$61</c:f>
              <c:strCache>
                <c:ptCount val="1"/>
                <c:pt idx="0">
                  <c:v>迪尔
50P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'5-6'!$AJ$62:$AJ$66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'5-6'!$AM$62:$AM$66</c:f>
              <c:numCache>
                <c:formatCode>General</c:formatCode>
                <c:ptCount val="5"/>
                <c:pt idx="0">
                  <c:v>3</c:v>
                </c:pt>
                <c:pt idx="1">
                  <c:v>0.9</c:v>
                </c:pt>
                <c:pt idx="2">
                  <c:v>0</c:v>
                </c:pt>
                <c:pt idx="3">
                  <c:v>0.7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1C-42F9-AA8A-583F07F60172}"/>
            </c:ext>
          </c:extLst>
        </c:ser>
        <c:ser>
          <c:idx val="3"/>
          <c:order val="3"/>
          <c:tx>
            <c:strRef>
              <c:f>'5-6'!$AN$61</c:f>
              <c:strCache>
                <c:ptCount val="1"/>
                <c:pt idx="0">
                  <c:v>山猫
E55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'5-6'!$AJ$62:$AJ$66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'5-6'!$AN$62:$AN$66</c:f>
              <c:numCache>
                <c:formatCode>General</c:formatCode>
                <c:ptCount val="5"/>
                <c:pt idx="0">
                  <c:v>1</c:v>
                </c:pt>
                <c:pt idx="1">
                  <c:v>1.4</c:v>
                </c:pt>
                <c:pt idx="2">
                  <c:v>0.7</c:v>
                </c:pt>
                <c:pt idx="3">
                  <c:v>1.5</c:v>
                </c:pt>
                <c:pt idx="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1C-42F9-AA8A-583F07F60172}"/>
            </c:ext>
          </c:extLst>
        </c:ser>
        <c:ser>
          <c:idx val="4"/>
          <c:order val="4"/>
          <c:tx>
            <c:strRef>
              <c:f>'5-6'!$AO$61</c:f>
              <c:strCache>
                <c:ptCount val="1"/>
                <c:pt idx="0">
                  <c:v>久保田
U55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'5-6'!$AJ$62:$AJ$66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'5-6'!$AO$62:$AO$66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0.3</c:v>
                </c:pt>
                <c:pt idx="3">
                  <c:v>1.5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1C-42F9-AA8A-583F07F60172}"/>
            </c:ext>
          </c:extLst>
        </c:ser>
        <c:ser>
          <c:idx val="5"/>
          <c:order val="5"/>
          <c:tx>
            <c:strRef>
              <c:f>'5-6'!$AP$61</c:f>
              <c:strCache>
                <c:ptCount val="1"/>
                <c:pt idx="0">
                  <c:v>久保田
KX057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'5-6'!$AJ$62:$AJ$66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'5-6'!$AP$62:$AP$66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0.3</c:v>
                </c:pt>
                <c:pt idx="3">
                  <c:v>1.5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1C-42F9-AA8A-583F07F60172}"/>
            </c:ext>
          </c:extLst>
        </c:ser>
        <c:ser>
          <c:idx val="6"/>
          <c:order val="6"/>
          <c:tx>
            <c:strRef>
              <c:f>'5-6'!$AQ$61</c:f>
              <c:strCache>
                <c:ptCount val="1"/>
                <c:pt idx="0">
                  <c:v>沃尔沃
ECR50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'5-6'!$AJ$62:$AJ$66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'5-6'!$AQ$62:$AQ$66</c:f>
              <c:numCache>
                <c:formatCode>General</c:formatCode>
                <c:ptCount val="5"/>
                <c:pt idx="0">
                  <c:v>2.2999999999999998</c:v>
                </c:pt>
                <c:pt idx="1">
                  <c:v>0.9</c:v>
                </c:pt>
                <c:pt idx="2">
                  <c:v>0.3</c:v>
                </c:pt>
                <c:pt idx="3">
                  <c:v>0.5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1C-42F9-AA8A-583F07F60172}"/>
            </c:ext>
          </c:extLst>
        </c:ser>
        <c:ser>
          <c:idx val="7"/>
          <c:order val="7"/>
          <c:tx>
            <c:strRef>
              <c:f>'5-6'!$AR$61</c:f>
              <c:strCache>
                <c:ptCount val="1"/>
                <c:pt idx="0">
                  <c:v>现代
HX55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'5-6'!$AJ$62:$AJ$66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'5-6'!$AR$62:$AR$66</c:f>
              <c:numCache>
                <c:formatCode>General</c:formatCode>
                <c:ptCount val="5"/>
                <c:pt idx="0">
                  <c:v>1</c:v>
                </c:pt>
                <c:pt idx="1">
                  <c:v>1.6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1C-42F9-AA8A-583F07F60172}"/>
            </c:ext>
          </c:extLst>
        </c:ser>
        <c:ser>
          <c:idx val="8"/>
          <c:order val="8"/>
          <c:tx>
            <c:strRef>
              <c:f>'5-6'!$AS$61</c:f>
              <c:strCache>
                <c:ptCount val="1"/>
                <c:pt idx="0">
                  <c:v>斗山
DX55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'5-6'!$AJ$62:$AJ$66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'5-6'!$AS$62:$AS$66</c:f>
              <c:numCache>
                <c:formatCode>General</c:formatCode>
                <c:ptCount val="5"/>
                <c:pt idx="0">
                  <c:v>1</c:v>
                </c:pt>
                <c:pt idx="1">
                  <c:v>0.4</c:v>
                </c:pt>
                <c:pt idx="2">
                  <c:v>1</c:v>
                </c:pt>
                <c:pt idx="3">
                  <c:v>1.2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1C-42F9-AA8A-583F07F60172}"/>
            </c:ext>
          </c:extLst>
        </c:ser>
        <c:ser>
          <c:idx val="9"/>
          <c:order val="9"/>
          <c:tx>
            <c:strRef>
              <c:f>'5-6'!$AT$61</c:f>
              <c:strCache>
                <c:ptCount val="1"/>
                <c:pt idx="0">
                  <c:v>三一
SY55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'5-6'!$AJ$62:$AJ$66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电气系统</c:v>
                </c:pt>
                <c:pt idx="4">
                  <c:v>Attachment &amp; Chassis</c:v>
                </c:pt>
              </c:strCache>
            </c:strRef>
          </c:cat>
          <c:val>
            <c:numRef>
              <c:f>'5-6'!$AT$62:$AT$66</c:f>
              <c:numCache>
                <c:formatCode>General</c:formatCode>
                <c:ptCount val="5"/>
                <c:pt idx="0">
                  <c:v>2</c:v>
                </c:pt>
                <c:pt idx="1">
                  <c:v>1.3</c:v>
                </c:pt>
                <c:pt idx="2">
                  <c:v>1</c:v>
                </c:pt>
                <c:pt idx="3">
                  <c:v>0.5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1C-42F9-AA8A-583F07F60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861808"/>
        <c:axId val="1024860368"/>
      </c:radarChart>
      <c:catAx>
        <c:axId val="102486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860368"/>
        <c:crosses val="autoZero"/>
        <c:auto val="1"/>
        <c:lblAlgn val="ctr"/>
        <c:lblOffset val="100"/>
        <c:noMultiLvlLbl val="0"/>
      </c:catAx>
      <c:valAx>
        <c:axId val="102486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86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北美市场主流厂家</a:t>
            </a:r>
            <a:r>
              <a:rPr lang="en-US" altLang="zh-CN"/>
              <a:t>3.5</a:t>
            </a:r>
            <a:r>
              <a:rPr lang="zh-CN" altLang="en-US"/>
              <a:t>吨挖机性能参数竞争力对比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'6-7 缺'!$AH$21</c:f>
              <c:strCache>
                <c:ptCount val="1"/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'6-7 缺'!$AG$22:$AG$30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'6-7 缺'!$AH$22:$AH$30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2EF8-4642-9A57-3DFBCE7A7AC2}"/>
            </c:ext>
          </c:extLst>
        </c:ser>
        <c:ser>
          <c:idx val="1"/>
          <c:order val="1"/>
          <c:tx>
            <c:strRef>
              <c:f>'6-7 缺'!$AI$21</c:f>
              <c:strCache>
                <c:ptCount val="1"/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strRef>
              <c:f>'6-7 缺'!$AG$22:$AG$30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'6-7 缺'!$AI$22:$AI$30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2EF8-4642-9A57-3DFBCE7A7AC2}"/>
            </c:ext>
          </c:extLst>
        </c:ser>
        <c:ser>
          <c:idx val="2"/>
          <c:order val="2"/>
          <c:tx>
            <c:strRef>
              <c:f>'6-7 缺'!$AJ$21</c:f>
              <c:strCache>
                <c:ptCount val="1"/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cat>
            <c:strRef>
              <c:f>'6-7 缺'!$AG$22:$AG$30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'6-7 缺'!$AJ$22:$AJ$30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2EF8-4642-9A57-3DFBCE7A7AC2}"/>
            </c:ext>
          </c:extLst>
        </c:ser>
        <c:ser>
          <c:idx val="3"/>
          <c:order val="3"/>
          <c:tx>
            <c:strRef>
              <c:f>'6-7 缺'!$AK$21</c:f>
              <c:strCache>
                <c:ptCount val="1"/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invertIfNegative val="0"/>
          <c:cat>
            <c:strRef>
              <c:f>'6-7 缺'!$AG$22:$AG$30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'6-7 缺'!$AK$22:$AK$30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2EF8-4642-9A57-3DFBCE7A7AC2}"/>
            </c:ext>
          </c:extLst>
        </c:ser>
        <c:ser>
          <c:idx val="4"/>
          <c:order val="4"/>
          <c:tx>
            <c:strRef>
              <c:f>'6-7 缺'!$AL$21</c:f>
              <c:strCache>
                <c:ptCount val="1"/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invertIfNegative val="0"/>
          <c:cat>
            <c:strRef>
              <c:f>'6-7 缺'!$AG$22:$AG$30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'6-7 缺'!$AL$22:$AL$30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2EF8-4642-9A57-3DFBCE7A7AC2}"/>
            </c:ext>
          </c:extLst>
        </c:ser>
        <c:ser>
          <c:idx val="5"/>
          <c:order val="5"/>
          <c:tx>
            <c:strRef>
              <c:f>'6-7 缺'!$AM$21</c:f>
              <c:strCache>
                <c:ptCount val="1"/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invertIfNegative val="0"/>
          <c:cat>
            <c:strRef>
              <c:f>'6-7 缺'!$AG$22:$AG$30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'6-7 缺'!$AM$22:$AM$30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2EF8-4642-9A57-3DFBCE7A7AC2}"/>
            </c:ext>
          </c:extLst>
        </c:ser>
        <c:ser>
          <c:idx val="6"/>
          <c:order val="6"/>
          <c:tx>
            <c:strRef>
              <c:f>'6-7 缺'!$AN$21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'6-7 缺'!$AG$22:$AG$30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'6-7 缺'!$AN$22:$AN$30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2EF8-4642-9A57-3DFBCE7A7AC2}"/>
            </c:ext>
          </c:extLst>
        </c:ser>
        <c:ser>
          <c:idx val="7"/>
          <c:order val="7"/>
          <c:tx>
            <c:strRef>
              <c:f>'6-7 缺'!$AO$21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'6-7 缺'!$AG$22:$AG$30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'6-7 缺'!$AO$22:$AO$30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2EF8-4642-9A57-3DFBCE7A7AC2}"/>
            </c:ext>
          </c:extLst>
        </c:ser>
        <c:ser>
          <c:idx val="8"/>
          <c:order val="8"/>
          <c:tx>
            <c:strRef>
              <c:f>'6-7 缺'!$AP$21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'6-7 缺'!$AG$22:$AG$30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'6-7 缺'!$AP$22:$AP$30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8-2EF8-4642-9A57-3DFBCE7A7AC2}"/>
            </c:ext>
          </c:extLst>
        </c:ser>
        <c:ser>
          <c:idx val="9"/>
          <c:order val="9"/>
          <c:tx>
            <c:strRef>
              <c:f>'6-7 缺'!$AQ$21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'6-7 缺'!$AG$22:$AG$30</c:f>
              <c:strCache>
                <c:ptCount val="9"/>
                <c:pt idx="0">
                  <c:v>Transport Parameters</c:v>
                </c:pt>
                <c:pt idx="1">
                  <c:v>Ground Parameters</c:v>
                </c:pt>
                <c:pt idx="2">
                  <c:v>Working Range</c:v>
                </c:pt>
                <c:pt idx="3">
                  <c:v>Power</c:v>
                </c:pt>
                <c:pt idx="4">
                  <c:v>Hydraulic System</c:v>
                </c:pt>
                <c:pt idx="5">
                  <c:v>Travel</c:v>
                </c:pt>
                <c:pt idx="6">
                  <c:v>Swing</c:v>
                </c:pt>
                <c:pt idx="7">
                  <c:v>Digging Force</c:v>
                </c:pt>
                <c:pt idx="8">
                  <c:v>Lifting Capacity</c:v>
                </c:pt>
              </c:strCache>
            </c:strRef>
          </c:cat>
          <c:val>
            <c:numRef>
              <c:f>'6-7 缺'!$AQ$22:$AQ$30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9-2EF8-4642-9A57-3DFBCE7A7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68112"/>
        <c:axId val="54865232"/>
      </c:barChart>
      <c:catAx>
        <c:axId val="5486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65232"/>
        <c:crosses val="autoZero"/>
        <c:auto val="1"/>
        <c:lblAlgn val="ctr"/>
        <c:lblOffset val="100"/>
        <c:noMultiLvlLbl val="1"/>
      </c:catAx>
      <c:valAx>
        <c:axId val="54865232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6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北美市场主流厂家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3.5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吨挖机标选配置竞争力对比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'6-7 缺'!$AH$50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'6-7 缺'!$AG$51:$AG$55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电气及技术</c:v>
                </c:pt>
                <c:pt idx="4">
                  <c:v>Attachment &amp; Chassis</c:v>
                </c:pt>
              </c:strCache>
            </c:strRef>
          </c:cat>
          <c:val>
            <c:numRef>
              <c:f>'6-7 缺'!$AH$51:$AH$55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70EA-4389-AF9D-3A86D9650A6C}"/>
            </c:ext>
          </c:extLst>
        </c:ser>
        <c:ser>
          <c:idx val="1"/>
          <c:order val="1"/>
          <c:tx>
            <c:strRef>
              <c:f>'6-7 缺'!$AI$50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'6-7 缺'!$AG$51:$AG$55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电气及技术</c:v>
                </c:pt>
                <c:pt idx="4">
                  <c:v>Attachment &amp; Chassis</c:v>
                </c:pt>
              </c:strCache>
            </c:strRef>
          </c:cat>
          <c:val>
            <c:numRef>
              <c:f>'6-7 缺'!$AI$51:$AI$55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70EA-4389-AF9D-3A86D9650A6C}"/>
            </c:ext>
          </c:extLst>
        </c:ser>
        <c:ser>
          <c:idx val="2"/>
          <c:order val="2"/>
          <c:tx>
            <c:strRef>
              <c:f>'6-7 缺'!$AJ$50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'6-7 缺'!$AG$51:$AG$55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电气及技术</c:v>
                </c:pt>
                <c:pt idx="4">
                  <c:v>Attachment &amp; Chassis</c:v>
                </c:pt>
              </c:strCache>
            </c:strRef>
          </c:cat>
          <c:val>
            <c:numRef>
              <c:f>'6-7 缺'!$AJ$51:$AJ$55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70EA-4389-AF9D-3A86D9650A6C}"/>
            </c:ext>
          </c:extLst>
        </c:ser>
        <c:ser>
          <c:idx val="3"/>
          <c:order val="3"/>
          <c:tx>
            <c:strRef>
              <c:f>'6-7 缺'!$AK$50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'6-7 缺'!$AG$51:$AG$55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电气及技术</c:v>
                </c:pt>
                <c:pt idx="4">
                  <c:v>Attachment &amp; Chassis</c:v>
                </c:pt>
              </c:strCache>
            </c:strRef>
          </c:cat>
          <c:val>
            <c:numRef>
              <c:f>'6-7 缺'!$AK$51:$AK$55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70EA-4389-AF9D-3A86D9650A6C}"/>
            </c:ext>
          </c:extLst>
        </c:ser>
        <c:ser>
          <c:idx val="4"/>
          <c:order val="4"/>
          <c:tx>
            <c:strRef>
              <c:f>'6-7 缺'!$AL$50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'6-7 缺'!$AG$51:$AG$55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电气及技术</c:v>
                </c:pt>
                <c:pt idx="4">
                  <c:v>Attachment &amp; Chassis</c:v>
                </c:pt>
              </c:strCache>
            </c:strRef>
          </c:cat>
          <c:val>
            <c:numRef>
              <c:f>'6-7 缺'!$AL$51:$AL$55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70EA-4389-AF9D-3A86D9650A6C}"/>
            </c:ext>
          </c:extLst>
        </c:ser>
        <c:ser>
          <c:idx val="5"/>
          <c:order val="5"/>
          <c:tx>
            <c:strRef>
              <c:f>'6-7 缺'!$AM$50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'6-7 缺'!$AG$51:$AG$55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电气及技术</c:v>
                </c:pt>
                <c:pt idx="4">
                  <c:v>Attachment &amp; Chassis</c:v>
                </c:pt>
              </c:strCache>
            </c:strRef>
          </c:cat>
          <c:val>
            <c:numRef>
              <c:f>'6-7 缺'!$AM$51:$AM$55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5-70EA-4389-AF9D-3A86D9650A6C}"/>
            </c:ext>
          </c:extLst>
        </c:ser>
        <c:ser>
          <c:idx val="6"/>
          <c:order val="6"/>
          <c:tx>
            <c:strRef>
              <c:f>'6-7 缺'!$AN$50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'6-7 缺'!$AG$51:$AG$55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电气及技术</c:v>
                </c:pt>
                <c:pt idx="4">
                  <c:v>Attachment &amp; Chassis</c:v>
                </c:pt>
              </c:strCache>
            </c:strRef>
          </c:cat>
          <c:val>
            <c:numRef>
              <c:f>'6-7 缺'!$AN$51:$AN$55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6-70EA-4389-AF9D-3A86D9650A6C}"/>
            </c:ext>
          </c:extLst>
        </c:ser>
        <c:ser>
          <c:idx val="7"/>
          <c:order val="7"/>
          <c:tx>
            <c:strRef>
              <c:f>'6-7 缺'!$AO$50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'6-7 缺'!$AG$51:$AG$55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电气及技术</c:v>
                </c:pt>
                <c:pt idx="4">
                  <c:v>Attachment &amp; Chassis</c:v>
                </c:pt>
              </c:strCache>
            </c:strRef>
          </c:cat>
          <c:val>
            <c:numRef>
              <c:f>'6-7 缺'!$AO$51:$AO$55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7-70EA-4389-AF9D-3A86D9650A6C}"/>
            </c:ext>
          </c:extLst>
        </c:ser>
        <c:ser>
          <c:idx val="8"/>
          <c:order val="8"/>
          <c:tx>
            <c:strRef>
              <c:f>'6-7 缺'!$AP$50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'6-7 缺'!$AG$51:$AG$55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电气及技术</c:v>
                </c:pt>
                <c:pt idx="4">
                  <c:v>Attachment &amp; Chassis</c:v>
                </c:pt>
              </c:strCache>
            </c:strRef>
          </c:cat>
          <c:val>
            <c:numRef>
              <c:f>'6-7 缺'!$AP$51:$AP$55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8-70EA-4389-AF9D-3A86D9650A6C}"/>
            </c:ext>
          </c:extLst>
        </c:ser>
        <c:ser>
          <c:idx val="9"/>
          <c:order val="9"/>
          <c:tx>
            <c:strRef>
              <c:f>'6-7 缺'!$AQ$50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'6-7 缺'!$AG$51:$AG$55</c:f>
              <c:strCache>
                <c:ptCount val="5"/>
                <c:pt idx="0">
                  <c:v>Engine</c:v>
                </c:pt>
                <c:pt idx="1">
                  <c:v>Hydraulic System</c:v>
                </c:pt>
                <c:pt idx="2">
                  <c:v>Operator Environment</c:v>
                </c:pt>
                <c:pt idx="3">
                  <c:v>电气及技术</c:v>
                </c:pt>
                <c:pt idx="4">
                  <c:v>Attachment &amp; Chassis</c:v>
                </c:pt>
              </c:strCache>
            </c:strRef>
          </c:cat>
          <c:val>
            <c:numRef>
              <c:f>'6-7 缺'!$AQ$51:$AQ$55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9-70EA-4389-AF9D-3A86D9650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289472"/>
        <c:axId val="685298592"/>
      </c:barChart>
      <c:catAx>
        <c:axId val="68528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298592"/>
        <c:crosses val="autoZero"/>
        <c:auto val="1"/>
        <c:lblAlgn val="ctr"/>
        <c:lblOffset val="100"/>
        <c:noMultiLvlLbl val="0"/>
      </c:catAx>
      <c:valAx>
        <c:axId val="68529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28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微小挖主要</a:t>
            </a:r>
            <a:r>
              <a:rPr lang="en-US" altLang="zh-CN"/>
              <a:t>OEM</a:t>
            </a:r>
            <a:r>
              <a:rPr lang="zh-CN" altLang="en-US"/>
              <a:t>各吨级产品性能参数评分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总结!$A$2</c:f>
              <c:strCache>
                <c:ptCount val="1"/>
                <c:pt idx="0">
                  <c:v>XCMG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83F-4E63-A5E8-F8810070B27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83F-4E63-A5E8-F8810070B27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83F-4E63-A5E8-F8810070B27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83F-4E63-A5E8-F8810070B27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83F-4E63-A5E8-F8810070B27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strRef>
              <c:f>总结!$B$1:$G$1</c:f>
              <c:strCache>
                <c:ptCount val="6"/>
                <c:pt idx="0">
                  <c:v>1~2</c:v>
                </c:pt>
                <c:pt idx="1">
                  <c:v>2~3</c:v>
                </c:pt>
                <c:pt idx="2">
                  <c:v>3~4</c:v>
                </c:pt>
                <c:pt idx="3">
                  <c:v>4~5</c:v>
                </c:pt>
                <c:pt idx="4">
                  <c:v>5~6</c:v>
                </c:pt>
                <c:pt idx="5">
                  <c:v>8~10</c:v>
                </c:pt>
              </c:strCache>
            </c:strRef>
          </c:xVal>
          <c:yVal>
            <c:numRef>
              <c:f>总结!$B$2:$G$2</c:f>
              <c:numCache>
                <c:formatCode>General</c:formatCode>
                <c:ptCount val="6"/>
                <c:pt idx="0">
                  <c:v>3.3519999999999999</c:v>
                </c:pt>
                <c:pt idx="1">
                  <c:v>2.7879999999999998</c:v>
                </c:pt>
                <c:pt idx="2">
                  <c:v>3.0960000000000001</c:v>
                </c:pt>
                <c:pt idx="3">
                  <c:v>3.4279999999999999</c:v>
                </c:pt>
                <c:pt idx="4">
                  <c:v>2.6240000000000001</c:v>
                </c:pt>
                <c:pt idx="5">
                  <c:v>3.1240000000000001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3F-4E63-A5E8-F8810070B27A}"/>
            </c:ext>
          </c:extLst>
        </c:ser>
        <c:ser>
          <c:idx val="1"/>
          <c:order val="1"/>
          <c:tx>
            <c:strRef>
              <c:f>总结!$A$3</c:f>
              <c:strCache>
                <c:ptCount val="1"/>
                <c:pt idx="0">
                  <c:v>CAT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8100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83F-4E63-A5E8-F8810070B27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83F-4E63-A5E8-F8810070B27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83F-4E63-A5E8-F8810070B27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83F-4E63-A5E8-F8810070B27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83F-4E63-A5E8-F8810070B27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strRef>
              <c:f>总结!$B$1:$G$1</c:f>
              <c:strCache>
                <c:ptCount val="6"/>
                <c:pt idx="0">
                  <c:v>1~2</c:v>
                </c:pt>
                <c:pt idx="1">
                  <c:v>2~3</c:v>
                </c:pt>
                <c:pt idx="2">
                  <c:v>3~4</c:v>
                </c:pt>
                <c:pt idx="3">
                  <c:v>4~5</c:v>
                </c:pt>
                <c:pt idx="4">
                  <c:v>5~6</c:v>
                </c:pt>
                <c:pt idx="5">
                  <c:v>8~10</c:v>
                </c:pt>
              </c:strCache>
            </c:strRef>
          </c:xVal>
          <c:yVal>
            <c:numRef>
              <c:f>总结!$B$3:$G$3</c:f>
              <c:numCache>
                <c:formatCode>General</c:formatCode>
                <c:ptCount val="6"/>
                <c:pt idx="0">
                  <c:v>3.55</c:v>
                </c:pt>
                <c:pt idx="1">
                  <c:v>3.42</c:v>
                </c:pt>
                <c:pt idx="2">
                  <c:v>3.2519999999999998</c:v>
                </c:pt>
                <c:pt idx="3">
                  <c:v>3.552</c:v>
                </c:pt>
                <c:pt idx="4">
                  <c:v>3.4359999999999999</c:v>
                </c:pt>
                <c:pt idx="5">
                  <c:v>3.6280000000000001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3F-4E63-A5E8-F8810070B27A}"/>
            </c:ext>
          </c:extLst>
        </c:ser>
        <c:ser>
          <c:idx val="2"/>
          <c:order val="2"/>
          <c:tx>
            <c:strRef>
              <c:f>总结!$A$4</c:f>
              <c:strCache>
                <c:ptCount val="1"/>
                <c:pt idx="0">
                  <c:v>DEERE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总结!$B$1:$G$1</c:f>
              <c:strCache>
                <c:ptCount val="6"/>
                <c:pt idx="0">
                  <c:v>1~2</c:v>
                </c:pt>
                <c:pt idx="1">
                  <c:v>2~3</c:v>
                </c:pt>
                <c:pt idx="2">
                  <c:v>3~4</c:v>
                </c:pt>
                <c:pt idx="3">
                  <c:v>4~5</c:v>
                </c:pt>
                <c:pt idx="4">
                  <c:v>5~6</c:v>
                </c:pt>
                <c:pt idx="5">
                  <c:v>8~10</c:v>
                </c:pt>
              </c:strCache>
            </c:strRef>
          </c:xVal>
          <c:yVal>
            <c:numRef>
              <c:f>总结!$B$4:$G$4</c:f>
              <c:numCache>
                <c:formatCode>General</c:formatCode>
                <c:ptCount val="6"/>
                <c:pt idx="0">
                  <c:v>3.2759999999999998</c:v>
                </c:pt>
                <c:pt idx="1">
                  <c:v>2.96</c:v>
                </c:pt>
                <c:pt idx="2">
                  <c:v>2.8879999999999999</c:v>
                </c:pt>
                <c:pt idx="4">
                  <c:v>2.6040000000000001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3F-4E63-A5E8-F8810070B27A}"/>
            </c:ext>
          </c:extLst>
        </c:ser>
        <c:ser>
          <c:idx val="3"/>
          <c:order val="3"/>
          <c:tx>
            <c:strRef>
              <c:f>总结!$A$5</c:f>
              <c:strCache>
                <c:ptCount val="1"/>
                <c:pt idx="0">
                  <c:v>BOBCAT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总结!$B$1:$G$1</c:f>
              <c:strCache>
                <c:ptCount val="6"/>
                <c:pt idx="0">
                  <c:v>1~2</c:v>
                </c:pt>
                <c:pt idx="1">
                  <c:v>2~3</c:v>
                </c:pt>
                <c:pt idx="2">
                  <c:v>3~4</c:v>
                </c:pt>
                <c:pt idx="3">
                  <c:v>4~5</c:v>
                </c:pt>
                <c:pt idx="4">
                  <c:v>5~6</c:v>
                </c:pt>
                <c:pt idx="5">
                  <c:v>8~10</c:v>
                </c:pt>
              </c:strCache>
            </c:strRef>
          </c:xVal>
          <c:yVal>
            <c:numRef>
              <c:f>总结!$B$5:$G$5</c:f>
              <c:numCache>
                <c:formatCode>General</c:formatCode>
                <c:ptCount val="6"/>
                <c:pt idx="0">
                  <c:v>2.92</c:v>
                </c:pt>
                <c:pt idx="1">
                  <c:v>3.28</c:v>
                </c:pt>
                <c:pt idx="2">
                  <c:v>2.92</c:v>
                </c:pt>
                <c:pt idx="3">
                  <c:v>2.84</c:v>
                </c:pt>
                <c:pt idx="4">
                  <c:v>3.036</c:v>
                </c:pt>
                <c:pt idx="5">
                  <c:v>3.044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3F-4E63-A5E8-F8810070B27A}"/>
            </c:ext>
          </c:extLst>
        </c:ser>
        <c:ser>
          <c:idx val="4"/>
          <c:order val="4"/>
          <c:tx>
            <c:strRef>
              <c:f>总结!$A$6</c:f>
              <c:strCache>
                <c:ptCount val="1"/>
                <c:pt idx="0">
                  <c:v>KUBOTA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总结!$B$1:$G$1</c:f>
              <c:strCache>
                <c:ptCount val="6"/>
                <c:pt idx="0">
                  <c:v>1~2</c:v>
                </c:pt>
                <c:pt idx="1">
                  <c:v>2~3</c:v>
                </c:pt>
                <c:pt idx="2">
                  <c:v>3~4</c:v>
                </c:pt>
                <c:pt idx="3">
                  <c:v>4~5</c:v>
                </c:pt>
                <c:pt idx="4">
                  <c:v>5~6</c:v>
                </c:pt>
                <c:pt idx="5">
                  <c:v>8~10</c:v>
                </c:pt>
              </c:strCache>
            </c:strRef>
          </c:xVal>
          <c:yVal>
            <c:numRef>
              <c:f>总结!$B$6:$G$6</c:f>
              <c:numCache>
                <c:formatCode>General</c:formatCode>
                <c:ptCount val="6"/>
                <c:pt idx="0">
                  <c:v>2.39</c:v>
                </c:pt>
                <c:pt idx="1">
                  <c:v>3.3959999999999999</c:v>
                </c:pt>
                <c:pt idx="2">
                  <c:v>3.0419999999999998</c:v>
                </c:pt>
                <c:pt idx="3">
                  <c:v>3.0720000000000001</c:v>
                </c:pt>
                <c:pt idx="4">
                  <c:v>3.1139999999999999</c:v>
                </c:pt>
                <c:pt idx="5">
                  <c:v>3.2679999999999998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3F-4E63-A5E8-F8810070B27A}"/>
            </c:ext>
          </c:extLst>
        </c:ser>
        <c:ser>
          <c:idx val="5"/>
          <c:order val="5"/>
          <c:tx>
            <c:strRef>
              <c:f>总结!$A$7</c:f>
              <c:strCache>
                <c:ptCount val="1"/>
                <c:pt idx="0">
                  <c:v>VOLVO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总结!$B$1:$G$1</c:f>
              <c:strCache>
                <c:ptCount val="6"/>
                <c:pt idx="0">
                  <c:v>1~2</c:v>
                </c:pt>
                <c:pt idx="1">
                  <c:v>2~3</c:v>
                </c:pt>
                <c:pt idx="2">
                  <c:v>3~4</c:v>
                </c:pt>
                <c:pt idx="3">
                  <c:v>4~5</c:v>
                </c:pt>
                <c:pt idx="4">
                  <c:v>5~6</c:v>
                </c:pt>
                <c:pt idx="5">
                  <c:v>8~10</c:v>
                </c:pt>
              </c:strCache>
            </c:strRef>
          </c:xVal>
          <c:yVal>
            <c:numRef>
              <c:f>总结!$B$7:$G$7</c:f>
              <c:numCache>
                <c:formatCode>General</c:formatCode>
                <c:ptCount val="6"/>
                <c:pt idx="0">
                  <c:v>2.1040000000000001</c:v>
                </c:pt>
                <c:pt idx="1">
                  <c:v>2.8959999999999999</c:v>
                </c:pt>
                <c:pt idx="2">
                  <c:v>3.472</c:v>
                </c:pt>
                <c:pt idx="3">
                  <c:v>2.5760000000000001</c:v>
                </c:pt>
                <c:pt idx="4">
                  <c:v>2.1320000000000001</c:v>
                </c:pt>
                <c:pt idx="5">
                  <c:v>2.6280000000000001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83F-4E63-A5E8-F8810070B27A}"/>
            </c:ext>
          </c:extLst>
        </c:ser>
        <c:ser>
          <c:idx val="6"/>
          <c:order val="6"/>
          <c:tx>
            <c:strRef>
              <c:f>总结!$A$8</c:f>
              <c:strCache>
                <c:ptCount val="1"/>
                <c:pt idx="0">
                  <c:v>HYUNDAI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总结!$B$1:$G$1</c:f>
              <c:strCache>
                <c:ptCount val="6"/>
                <c:pt idx="0">
                  <c:v>1~2</c:v>
                </c:pt>
                <c:pt idx="1">
                  <c:v>2~3</c:v>
                </c:pt>
                <c:pt idx="2">
                  <c:v>3~4</c:v>
                </c:pt>
                <c:pt idx="3">
                  <c:v>4~5</c:v>
                </c:pt>
                <c:pt idx="4">
                  <c:v>5~6</c:v>
                </c:pt>
                <c:pt idx="5">
                  <c:v>8~10</c:v>
                </c:pt>
              </c:strCache>
            </c:strRef>
          </c:xVal>
          <c:yVal>
            <c:numRef>
              <c:f>总结!$B$8:$G$8</c:f>
              <c:numCache>
                <c:formatCode>General</c:formatCode>
                <c:ptCount val="6"/>
                <c:pt idx="0">
                  <c:v>2.6</c:v>
                </c:pt>
                <c:pt idx="1">
                  <c:v>2.58</c:v>
                </c:pt>
                <c:pt idx="2">
                  <c:v>2.964</c:v>
                </c:pt>
                <c:pt idx="3">
                  <c:v>3.036</c:v>
                </c:pt>
                <c:pt idx="4">
                  <c:v>2.9079999999999999</c:v>
                </c:pt>
                <c:pt idx="5">
                  <c:v>2.98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83F-4E63-A5E8-F8810070B27A}"/>
            </c:ext>
          </c:extLst>
        </c:ser>
        <c:ser>
          <c:idx val="7"/>
          <c:order val="7"/>
          <c:tx>
            <c:strRef>
              <c:f>总结!$A$9</c:f>
              <c:strCache>
                <c:ptCount val="1"/>
                <c:pt idx="0">
                  <c:v>DEVELON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总结!$B$1:$G$1</c:f>
              <c:strCache>
                <c:ptCount val="6"/>
                <c:pt idx="0">
                  <c:v>1~2</c:v>
                </c:pt>
                <c:pt idx="1">
                  <c:v>2~3</c:v>
                </c:pt>
                <c:pt idx="2">
                  <c:v>3~4</c:v>
                </c:pt>
                <c:pt idx="3">
                  <c:v>4~5</c:v>
                </c:pt>
                <c:pt idx="4">
                  <c:v>5~6</c:v>
                </c:pt>
                <c:pt idx="5">
                  <c:v>8~10</c:v>
                </c:pt>
              </c:strCache>
            </c:strRef>
          </c:xVal>
          <c:yVal>
            <c:numRef>
              <c:f>总结!$B$9:$G$9</c:f>
              <c:numCache>
                <c:formatCode>General</c:formatCode>
                <c:ptCount val="6"/>
                <c:pt idx="0">
                  <c:v>2.3239999999999998</c:v>
                </c:pt>
                <c:pt idx="1">
                  <c:v>2.952</c:v>
                </c:pt>
                <c:pt idx="2">
                  <c:v>3.004</c:v>
                </c:pt>
                <c:pt idx="3">
                  <c:v>3.3919999999999999</c:v>
                </c:pt>
                <c:pt idx="4">
                  <c:v>3.1040000000000001</c:v>
                </c:pt>
                <c:pt idx="5">
                  <c:v>2.78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83F-4E63-A5E8-F8810070B27A}"/>
            </c:ext>
          </c:extLst>
        </c:ser>
        <c:ser>
          <c:idx val="8"/>
          <c:order val="8"/>
          <c:tx>
            <c:strRef>
              <c:f>总结!$A$10</c:f>
              <c:strCache>
                <c:ptCount val="1"/>
                <c:pt idx="0">
                  <c:v>SANY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总结!$B$1:$G$1</c:f>
              <c:strCache>
                <c:ptCount val="6"/>
                <c:pt idx="0">
                  <c:v>1~2</c:v>
                </c:pt>
                <c:pt idx="1">
                  <c:v>2~3</c:v>
                </c:pt>
                <c:pt idx="2">
                  <c:v>3~4</c:v>
                </c:pt>
                <c:pt idx="3">
                  <c:v>4~5</c:v>
                </c:pt>
                <c:pt idx="4">
                  <c:v>5~6</c:v>
                </c:pt>
                <c:pt idx="5">
                  <c:v>8~10</c:v>
                </c:pt>
              </c:strCache>
            </c:strRef>
          </c:xVal>
          <c:yVal>
            <c:numRef>
              <c:f>总结!$B$10:$G$10</c:f>
              <c:numCache>
                <c:formatCode>General</c:formatCode>
                <c:ptCount val="6"/>
                <c:pt idx="0">
                  <c:v>3.1520000000000001</c:v>
                </c:pt>
                <c:pt idx="1">
                  <c:v>3.048</c:v>
                </c:pt>
                <c:pt idx="2">
                  <c:v>2.5880000000000001</c:v>
                </c:pt>
                <c:pt idx="4">
                  <c:v>1.968</c:v>
                </c:pt>
                <c:pt idx="5">
                  <c:v>3.9319999999999999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83F-4E63-A5E8-F8810070B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317871"/>
        <c:axId val="1057315951"/>
      </c:scatterChart>
      <c:valAx>
        <c:axId val="1057317871"/>
        <c:scaling>
          <c:orientation val="minMax"/>
          <c:max val="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315951"/>
        <c:crosses val="autoZero"/>
        <c:crossBetween val="midCat"/>
      </c:valAx>
      <c:valAx>
        <c:axId val="1057315951"/>
        <c:scaling>
          <c:orientation val="minMax"/>
          <c:max val="4"/>
          <c:min val="1.5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317871"/>
        <c:crosses val="max"/>
        <c:crossBetween val="midCat"/>
      </c:valAx>
      <c:spPr>
        <a:noFill/>
        <a:ln>
          <a:solidFill>
            <a:schemeClr val="lt1">
              <a:shade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短尾中大挖主要</a:t>
            </a:r>
            <a:r>
              <a:rPr lang="en-US" altLang="zh-CN"/>
              <a:t>OEM</a:t>
            </a:r>
            <a:r>
              <a:rPr lang="zh-CN" altLang="en-US"/>
              <a:t>各吨级产品性能参数评分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总结!$I$2</c:f>
              <c:strCache>
                <c:ptCount val="1"/>
                <c:pt idx="0">
                  <c:v>XCMG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DBB-40F9-A5C3-2783058476E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DBB-40F9-A5C3-2783058476E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strRef>
              <c:f>总结!$J$1:$L$1</c:f>
              <c:strCache>
                <c:ptCount val="3"/>
                <c:pt idx="0">
                  <c:v>14~16</c:v>
                </c:pt>
                <c:pt idx="1">
                  <c:v>24~28</c:v>
                </c:pt>
                <c:pt idx="2">
                  <c:v>33~40</c:v>
                </c:pt>
              </c:strCache>
            </c:strRef>
          </c:xVal>
          <c:yVal>
            <c:numRef>
              <c:f>总结!$J$2:$L$2</c:f>
              <c:numCache>
                <c:formatCode>General</c:formatCode>
                <c:ptCount val="3"/>
                <c:pt idx="0">
                  <c:v>2.7160000000000002</c:v>
                </c:pt>
                <c:pt idx="1">
                  <c:v>2.6720000000000002</c:v>
                </c:pt>
                <c:pt idx="2">
                  <c:v>2.3559999999999999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BB-40F9-A5C3-2783058476EB}"/>
            </c:ext>
          </c:extLst>
        </c:ser>
        <c:ser>
          <c:idx val="1"/>
          <c:order val="1"/>
          <c:tx>
            <c:strRef>
              <c:f>总结!$I$3</c:f>
              <c:strCache>
                <c:ptCount val="1"/>
                <c:pt idx="0">
                  <c:v>CAT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8100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DBB-40F9-A5C3-2783058476E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DBB-40F9-A5C3-2783058476E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strRef>
              <c:f>总结!$J$1:$L$1</c:f>
              <c:strCache>
                <c:ptCount val="3"/>
                <c:pt idx="0">
                  <c:v>14~16</c:v>
                </c:pt>
                <c:pt idx="1">
                  <c:v>24~28</c:v>
                </c:pt>
                <c:pt idx="2">
                  <c:v>33~40</c:v>
                </c:pt>
              </c:strCache>
            </c:strRef>
          </c:xVal>
          <c:yVal>
            <c:numRef>
              <c:f>总结!$J$3:$L$3</c:f>
              <c:numCache>
                <c:formatCode>General</c:formatCode>
                <c:ptCount val="3"/>
                <c:pt idx="0">
                  <c:v>2.96</c:v>
                </c:pt>
                <c:pt idx="1">
                  <c:v>3.1920000000000002</c:v>
                </c:pt>
                <c:pt idx="2">
                  <c:v>3.4359999999999999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BB-40F9-A5C3-2783058476EB}"/>
            </c:ext>
          </c:extLst>
        </c:ser>
        <c:ser>
          <c:idx val="2"/>
          <c:order val="2"/>
          <c:tx>
            <c:strRef>
              <c:f>总结!$I$4</c:f>
              <c:strCache>
                <c:ptCount val="1"/>
                <c:pt idx="0">
                  <c:v>DEERE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总结!$J$1:$L$1</c:f>
              <c:strCache>
                <c:ptCount val="3"/>
                <c:pt idx="0">
                  <c:v>14~16</c:v>
                </c:pt>
                <c:pt idx="1">
                  <c:v>24~28</c:v>
                </c:pt>
                <c:pt idx="2">
                  <c:v>33~40</c:v>
                </c:pt>
              </c:strCache>
            </c:strRef>
          </c:xVal>
          <c:yVal>
            <c:numRef>
              <c:f>总结!$J$4:$L$4</c:f>
              <c:numCache>
                <c:formatCode>General</c:formatCode>
                <c:ptCount val="3"/>
                <c:pt idx="0">
                  <c:v>2.82</c:v>
                </c:pt>
                <c:pt idx="1">
                  <c:v>2.988</c:v>
                </c:pt>
                <c:pt idx="2">
                  <c:v>2.9239999999999999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BB-40F9-A5C3-2783058476EB}"/>
            </c:ext>
          </c:extLst>
        </c:ser>
        <c:ser>
          <c:idx val="3"/>
          <c:order val="3"/>
          <c:tx>
            <c:strRef>
              <c:f>总结!$I$5</c:f>
              <c:strCache>
                <c:ptCount val="1"/>
                <c:pt idx="0">
                  <c:v>KOMATSU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总结!$J$1:$L$1</c:f>
              <c:strCache>
                <c:ptCount val="3"/>
                <c:pt idx="0">
                  <c:v>14~16</c:v>
                </c:pt>
                <c:pt idx="1">
                  <c:v>24~28</c:v>
                </c:pt>
                <c:pt idx="2">
                  <c:v>33~40</c:v>
                </c:pt>
              </c:strCache>
            </c:strRef>
          </c:xVal>
          <c:yVal>
            <c:numRef>
              <c:f>总结!$J$5:$L$5</c:f>
              <c:numCache>
                <c:formatCode>General</c:formatCode>
                <c:ptCount val="3"/>
                <c:pt idx="0">
                  <c:v>2.5760000000000001</c:v>
                </c:pt>
                <c:pt idx="1">
                  <c:v>2.6440000000000001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BB-40F9-A5C3-2783058476EB}"/>
            </c:ext>
          </c:extLst>
        </c:ser>
        <c:ser>
          <c:idx val="4"/>
          <c:order val="4"/>
          <c:tx>
            <c:strRef>
              <c:f>总结!$I$6</c:f>
              <c:strCache>
                <c:ptCount val="1"/>
                <c:pt idx="0">
                  <c:v>KOBELCO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总结!$J$1:$L$1</c:f>
              <c:strCache>
                <c:ptCount val="3"/>
                <c:pt idx="0">
                  <c:v>14~16</c:v>
                </c:pt>
                <c:pt idx="1">
                  <c:v>24~28</c:v>
                </c:pt>
                <c:pt idx="2">
                  <c:v>33~40</c:v>
                </c:pt>
              </c:strCache>
            </c:strRef>
          </c:xVal>
          <c:yVal>
            <c:numRef>
              <c:f>总结!$J$6:$L$6</c:f>
              <c:numCache>
                <c:formatCode>General</c:formatCode>
                <c:ptCount val="3"/>
                <c:pt idx="0">
                  <c:v>3.1</c:v>
                </c:pt>
                <c:pt idx="1">
                  <c:v>2.6760000000000002</c:v>
                </c:pt>
                <c:pt idx="2">
                  <c:v>2.6480000000000001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DBB-40F9-A5C3-2783058476EB}"/>
            </c:ext>
          </c:extLst>
        </c:ser>
        <c:ser>
          <c:idx val="5"/>
          <c:order val="5"/>
          <c:tx>
            <c:strRef>
              <c:f>总结!$I$7</c:f>
              <c:strCache>
                <c:ptCount val="1"/>
                <c:pt idx="0">
                  <c:v>VOLVO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总结!$J$1:$L$1</c:f>
              <c:strCache>
                <c:ptCount val="3"/>
                <c:pt idx="0">
                  <c:v>14~16</c:v>
                </c:pt>
                <c:pt idx="1">
                  <c:v>24~28</c:v>
                </c:pt>
                <c:pt idx="2">
                  <c:v>33~40</c:v>
                </c:pt>
              </c:strCache>
            </c:strRef>
          </c:xVal>
          <c:yVal>
            <c:numRef>
              <c:f>总结!$J$7:$L$7</c:f>
              <c:numCache>
                <c:formatCode>General</c:formatCode>
                <c:ptCount val="3"/>
                <c:pt idx="0">
                  <c:v>3.3559999999999999</c:v>
                </c:pt>
                <c:pt idx="1">
                  <c:v>2.7559999999999998</c:v>
                </c:pt>
                <c:pt idx="2">
                  <c:v>2.7559999999999998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DBB-40F9-A5C3-2783058476EB}"/>
            </c:ext>
          </c:extLst>
        </c:ser>
        <c:ser>
          <c:idx val="6"/>
          <c:order val="6"/>
          <c:tx>
            <c:strRef>
              <c:f>总结!$I$8</c:f>
              <c:strCache>
                <c:ptCount val="1"/>
                <c:pt idx="0">
                  <c:v>HYUNDAI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总结!$J$1:$L$1</c:f>
              <c:strCache>
                <c:ptCount val="3"/>
                <c:pt idx="0">
                  <c:v>14~16</c:v>
                </c:pt>
                <c:pt idx="1">
                  <c:v>24~28</c:v>
                </c:pt>
                <c:pt idx="2">
                  <c:v>33~40</c:v>
                </c:pt>
              </c:strCache>
            </c:strRef>
          </c:xVal>
          <c:yVal>
            <c:numRef>
              <c:f>总结!$J$8:$L$8</c:f>
              <c:numCache>
                <c:formatCode>General</c:formatCode>
                <c:ptCount val="3"/>
                <c:pt idx="0">
                  <c:v>3.4</c:v>
                </c:pt>
                <c:pt idx="1">
                  <c:v>2.7120000000000002</c:v>
                </c:pt>
                <c:pt idx="2">
                  <c:v>3.032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DBB-40F9-A5C3-2783058476EB}"/>
            </c:ext>
          </c:extLst>
        </c:ser>
        <c:ser>
          <c:idx val="7"/>
          <c:order val="7"/>
          <c:tx>
            <c:strRef>
              <c:f>总结!$I$9</c:f>
              <c:strCache>
                <c:ptCount val="1"/>
                <c:pt idx="0">
                  <c:v>DEVELON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总结!$J$1:$L$1</c:f>
              <c:strCache>
                <c:ptCount val="3"/>
                <c:pt idx="0">
                  <c:v>14~16</c:v>
                </c:pt>
                <c:pt idx="1">
                  <c:v>24~28</c:v>
                </c:pt>
                <c:pt idx="2">
                  <c:v>33~40</c:v>
                </c:pt>
              </c:strCache>
            </c:strRef>
          </c:xVal>
          <c:yVal>
            <c:numRef>
              <c:f>总结!$J$9:$L$9</c:f>
              <c:numCache>
                <c:formatCode>General</c:formatCode>
                <c:ptCount val="3"/>
                <c:pt idx="0">
                  <c:v>2.7959999999999998</c:v>
                </c:pt>
                <c:pt idx="1">
                  <c:v>3.528</c:v>
                </c:pt>
                <c:pt idx="2">
                  <c:v>3.2719999999999998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DBB-40F9-A5C3-2783058476EB}"/>
            </c:ext>
          </c:extLst>
        </c:ser>
        <c:ser>
          <c:idx val="8"/>
          <c:order val="8"/>
          <c:tx>
            <c:strRef>
              <c:f>总结!$I$10</c:f>
              <c:strCache>
                <c:ptCount val="1"/>
                <c:pt idx="0">
                  <c:v>SANY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总结!$J$1:$L$1</c:f>
              <c:strCache>
                <c:ptCount val="3"/>
                <c:pt idx="0">
                  <c:v>14~16</c:v>
                </c:pt>
                <c:pt idx="1">
                  <c:v>24~28</c:v>
                </c:pt>
                <c:pt idx="2">
                  <c:v>33~40</c:v>
                </c:pt>
              </c:strCache>
            </c:strRef>
          </c:xVal>
          <c:yVal>
            <c:numRef>
              <c:f>总结!$J$10:$L$10</c:f>
              <c:numCache>
                <c:formatCode>General</c:formatCode>
                <c:ptCount val="3"/>
                <c:pt idx="0">
                  <c:v>2.2719999999999998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DBB-40F9-A5C3-278305847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894831"/>
        <c:axId val="1509888591"/>
      </c:scatterChart>
      <c:valAx>
        <c:axId val="1509894831"/>
        <c:scaling>
          <c:orientation val="minMax"/>
          <c:max val="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888591"/>
        <c:crosses val="autoZero"/>
        <c:crossBetween val="midCat"/>
        <c:majorUnit val="1"/>
      </c:valAx>
      <c:valAx>
        <c:axId val="1509888591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894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/>
              <a:t>常规尾中大挖主要</a:t>
            </a:r>
            <a:r>
              <a:rPr lang="en-US" altLang="zh-CN" sz="1200"/>
              <a:t>OEM</a:t>
            </a:r>
            <a:r>
              <a:rPr lang="zh-CN" altLang="en-US" sz="1200"/>
              <a:t>各吨级产品性能参数评分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总结!$N$2</c:f>
              <c:strCache>
                <c:ptCount val="1"/>
                <c:pt idx="0">
                  <c:v>XCMG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xVal>
            <c:strRef>
              <c:f>总结!$O$1:$T$1</c:f>
              <c:strCache>
                <c:ptCount val="6"/>
                <c:pt idx="0">
                  <c:v>12~14</c:v>
                </c:pt>
                <c:pt idx="1">
                  <c:v>21~24</c:v>
                </c:pt>
                <c:pt idx="2">
                  <c:v>24~28</c:v>
                </c:pt>
                <c:pt idx="3">
                  <c:v>28~33</c:v>
                </c:pt>
                <c:pt idx="4">
                  <c:v>33~40</c:v>
                </c:pt>
                <c:pt idx="5">
                  <c:v>40~60</c:v>
                </c:pt>
              </c:strCache>
            </c:strRef>
          </c:xVal>
          <c:yVal>
            <c:numRef>
              <c:f>总结!$O$2:$T$2</c:f>
              <c:numCache>
                <c:formatCode>General</c:formatCode>
                <c:ptCount val="6"/>
                <c:pt idx="0">
                  <c:v>2.64</c:v>
                </c:pt>
                <c:pt idx="1">
                  <c:v>2.6440000000000001</c:v>
                </c:pt>
                <c:pt idx="2">
                  <c:v>2.52</c:v>
                </c:pt>
                <c:pt idx="3">
                  <c:v>3.1480000000000001</c:v>
                </c:pt>
                <c:pt idx="4">
                  <c:v>2.948</c:v>
                </c:pt>
                <c:pt idx="5">
                  <c:v>2.7559999999999998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0D-4812-8AE8-06C84D32EE9D}"/>
            </c:ext>
          </c:extLst>
        </c:ser>
        <c:ser>
          <c:idx val="1"/>
          <c:order val="1"/>
          <c:tx>
            <c:strRef>
              <c:f>总结!$N$3</c:f>
              <c:strCache>
                <c:ptCount val="1"/>
                <c:pt idx="0">
                  <c:v>CAT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8100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A0D-4812-8AE8-06C84D32EE9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A0D-4812-8AE8-06C84D32EE9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A0D-4812-8AE8-06C84D32EE9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A0D-4812-8AE8-06C84D32EE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A0D-4812-8AE8-06C84D32EE9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strRef>
              <c:f>总结!$O$1:$T$1</c:f>
              <c:strCache>
                <c:ptCount val="6"/>
                <c:pt idx="0">
                  <c:v>12~14</c:v>
                </c:pt>
                <c:pt idx="1">
                  <c:v>21~24</c:v>
                </c:pt>
                <c:pt idx="2">
                  <c:v>24~28</c:v>
                </c:pt>
                <c:pt idx="3">
                  <c:v>28~33</c:v>
                </c:pt>
                <c:pt idx="4">
                  <c:v>33~40</c:v>
                </c:pt>
                <c:pt idx="5">
                  <c:v>40~60</c:v>
                </c:pt>
              </c:strCache>
            </c:strRef>
          </c:xVal>
          <c:yVal>
            <c:numRef>
              <c:f>总结!$O$3:$T$3</c:f>
              <c:numCache>
                <c:formatCode>General</c:formatCode>
                <c:ptCount val="6"/>
                <c:pt idx="0">
                  <c:v>3.1560000000000001</c:v>
                </c:pt>
                <c:pt idx="1">
                  <c:v>3.36</c:v>
                </c:pt>
                <c:pt idx="2">
                  <c:v>2.9319999999999999</c:v>
                </c:pt>
                <c:pt idx="3">
                  <c:v>3.2320000000000002</c:v>
                </c:pt>
                <c:pt idx="4">
                  <c:v>3.0840000000000001</c:v>
                </c:pt>
                <c:pt idx="5">
                  <c:v>3.024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0D-4812-8AE8-06C84D32EE9D}"/>
            </c:ext>
          </c:extLst>
        </c:ser>
        <c:ser>
          <c:idx val="2"/>
          <c:order val="2"/>
          <c:tx>
            <c:strRef>
              <c:f>总结!$N$4</c:f>
              <c:strCache>
                <c:ptCount val="1"/>
                <c:pt idx="0">
                  <c:v>DEERE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总结!$O$1:$T$1</c:f>
              <c:strCache>
                <c:ptCount val="6"/>
                <c:pt idx="0">
                  <c:v>12~14</c:v>
                </c:pt>
                <c:pt idx="1">
                  <c:v>21~24</c:v>
                </c:pt>
                <c:pt idx="2">
                  <c:v>24~28</c:v>
                </c:pt>
                <c:pt idx="3">
                  <c:v>28~33</c:v>
                </c:pt>
                <c:pt idx="4">
                  <c:v>33~40</c:v>
                </c:pt>
                <c:pt idx="5">
                  <c:v>40~60</c:v>
                </c:pt>
              </c:strCache>
            </c:strRef>
          </c:xVal>
          <c:yVal>
            <c:numRef>
              <c:f>总结!$O$4:$T$4</c:f>
              <c:numCache>
                <c:formatCode>General</c:formatCode>
                <c:ptCount val="6"/>
                <c:pt idx="0">
                  <c:v>2.72</c:v>
                </c:pt>
                <c:pt idx="1">
                  <c:v>3.1840000000000002</c:v>
                </c:pt>
                <c:pt idx="2">
                  <c:v>2.968</c:v>
                </c:pt>
                <c:pt idx="3">
                  <c:v>2.6720000000000002</c:v>
                </c:pt>
                <c:pt idx="4">
                  <c:v>2.86</c:v>
                </c:pt>
                <c:pt idx="5">
                  <c:v>3.1880000000000002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0D-4812-8AE8-06C84D32EE9D}"/>
            </c:ext>
          </c:extLst>
        </c:ser>
        <c:ser>
          <c:idx val="3"/>
          <c:order val="3"/>
          <c:tx>
            <c:strRef>
              <c:f>总结!$N$5</c:f>
              <c:strCache>
                <c:ptCount val="1"/>
                <c:pt idx="0">
                  <c:v>KOMATSU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总结!$O$1:$T$1</c:f>
              <c:strCache>
                <c:ptCount val="6"/>
                <c:pt idx="0">
                  <c:v>12~14</c:v>
                </c:pt>
                <c:pt idx="1">
                  <c:v>21~24</c:v>
                </c:pt>
                <c:pt idx="2">
                  <c:v>24~28</c:v>
                </c:pt>
                <c:pt idx="3">
                  <c:v>28~33</c:v>
                </c:pt>
                <c:pt idx="4">
                  <c:v>33~40</c:v>
                </c:pt>
                <c:pt idx="5">
                  <c:v>40~60</c:v>
                </c:pt>
              </c:strCache>
            </c:strRef>
          </c:xVal>
          <c:yVal>
            <c:numRef>
              <c:f>总结!$O$5:$T$5</c:f>
              <c:numCache>
                <c:formatCode>General</c:formatCode>
                <c:ptCount val="6"/>
                <c:pt idx="0">
                  <c:v>2.3719999999999999</c:v>
                </c:pt>
                <c:pt idx="1">
                  <c:v>2.968</c:v>
                </c:pt>
                <c:pt idx="2">
                  <c:v>2.984</c:v>
                </c:pt>
                <c:pt idx="3">
                  <c:v>2.3079999999999998</c:v>
                </c:pt>
                <c:pt idx="4">
                  <c:v>2.42</c:v>
                </c:pt>
                <c:pt idx="5">
                  <c:v>2.7320000000000002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0D-4812-8AE8-06C84D32EE9D}"/>
            </c:ext>
          </c:extLst>
        </c:ser>
        <c:ser>
          <c:idx val="4"/>
          <c:order val="4"/>
          <c:tx>
            <c:strRef>
              <c:f>总结!$N$6</c:f>
              <c:strCache>
                <c:ptCount val="1"/>
                <c:pt idx="0">
                  <c:v>KOBELCO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总结!$O$1:$T$1</c:f>
              <c:strCache>
                <c:ptCount val="6"/>
                <c:pt idx="0">
                  <c:v>12~14</c:v>
                </c:pt>
                <c:pt idx="1">
                  <c:v>21~24</c:v>
                </c:pt>
                <c:pt idx="2">
                  <c:v>24~28</c:v>
                </c:pt>
                <c:pt idx="3">
                  <c:v>28~33</c:v>
                </c:pt>
                <c:pt idx="4">
                  <c:v>33~40</c:v>
                </c:pt>
                <c:pt idx="5">
                  <c:v>40~60</c:v>
                </c:pt>
              </c:strCache>
            </c:strRef>
          </c:xVal>
          <c:yVal>
            <c:numRef>
              <c:f>总结!$O$6:$T$6</c:f>
              <c:numCache>
                <c:formatCode>General</c:formatCode>
                <c:ptCount val="6"/>
                <c:pt idx="0">
                  <c:v>3.2040000000000002</c:v>
                </c:pt>
                <c:pt idx="1">
                  <c:v>3.2559999999999998</c:v>
                </c:pt>
                <c:pt idx="2">
                  <c:v>3.024</c:v>
                </c:pt>
                <c:pt idx="3">
                  <c:v>2.68</c:v>
                </c:pt>
                <c:pt idx="4">
                  <c:v>3.024</c:v>
                </c:pt>
                <c:pt idx="5">
                  <c:v>3.6240000000000001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0D-4812-8AE8-06C84D32EE9D}"/>
            </c:ext>
          </c:extLst>
        </c:ser>
        <c:ser>
          <c:idx val="5"/>
          <c:order val="5"/>
          <c:tx>
            <c:strRef>
              <c:f>总结!$N$7</c:f>
              <c:strCache>
                <c:ptCount val="1"/>
                <c:pt idx="0">
                  <c:v>VOLVO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总结!$O$1:$T$1</c:f>
              <c:strCache>
                <c:ptCount val="6"/>
                <c:pt idx="0">
                  <c:v>12~14</c:v>
                </c:pt>
                <c:pt idx="1">
                  <c:v>21~24</c:v>
                </c:pt>
                <c:pt idx="2">
                  <c:v>24~28</c:v>
                </c:pt>
                <c:pt idx="3">
                  <c:v>28~33</c:v>
                </c:pt>
                <c:pt idx="4">
                  <c:v>33~40</c:v>
                </c:pt>
                <c:pt idx="5">
                  <c:v>40~60</c:v>
                </c:pt>
              </c:strCache>
            </c:strRef>
          </c:xVal>
          <c:yVal>
            <c:numRef>
              <c:f>总结!$O$7:$T$7</c:f>
              <c:numCache>
                <c:formatCode>General</c:formatCode>
                <c:ptCount val="6"/>
                <c:pt idx="0">
                  <c:v>2.94</c:v>
                </c:pt>
                <c:pt idx="1">
                  <c:v>3.3</c:v>
                </c:pt>
                <c:pt idx="2">
                  <c:v>3.2559999999999998</c:v>
                </c:pt>
                <c:pt idx="3">
                  <c:v>3.2519999999999998</c:v>
                </c:pt>
                <c:pt idx="4">
                  <c:v>2.9359999999999999</c:v>
                </c:pt>
                <c:pt idx="5">
                  <c:v>2.92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0D-4812-8AE8-06C84D32EE9D}"/>
            </c:ext>
          </c:extLst>
        </c:ser>
        <c:ser>
          <c:idx val="6"/>
          <c:order val="6"/>
          <c:tx>
            <c:strRef>
              <c:f>总结!$N$8</c:f>
              <c:strCache>
                <c:ptCount val="1"/>
                <c:pt idx="0">
                  <c:v>HYUNDAI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总结!$O$1:$T$1</c:f>
              <c:strCache>
                <c:ptCount val="6"/>
                <c:pt idx="0">
                  <c:v>12~14</c:v>
                </c:pt>
                <c:pt idx="1">
                  <c:v>21~24</c:v>
                </c:pt>
                <c:pt idx="2">
                  <c:v>24~28</c:v>
                </c:pt>
                <c:pt idx="3">
                  <c:v>28~33</c:v>
                </c:pt>
                <c:pt idx="4">
                  <c:v>33~40</c:v>
                </c:pt>
                <c:pt idx="5">
                  <c:v>40~60</c:v>
                </c:pt>
              </c:strCache>
            </c:strRef>
          </c:xVal>
          <c:yVal>
            <c:numRef>
              <c:f>总结!$O$8:$T$8</c:f>
              <c:numCache>
                <c:formatCode>General</c:formatCode>
                <c:ptCount val="6"/>
                <c:pt idx="0">
                  <c:v>3.476</c:v>
                </c:pt>
                <c:pt idx="1">
                  <c:v>3.1080000000000001</c:v>
                </c:pt>
                <c:pt idx="2">
                  <c:v>3.1840000000000002</c:v>
                </c:pt>
                <c:pt idx="3">
                  <c:v>3.1320000000000001</c:v>
                </c:pt>
                <c:pt idx="4">
                  <c:v>3.28</c:v>
                </c:pt>
                <c:pt idx="5">
                  <c:v>3.012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A0D-4812-8AE8-06C84D32EE9D}"/>
            </c:ext>
          </c:extLst>
        </c:ser>
        <c:ser>
          <c:idx val="7"/>
          <c:order val="7"/>
          <c:tx>
            <c:strRef>
              <c:f>总结!$N$9</c:f>
              <c:strCache>
                <c:ptCount val="1"/>
                <c:pt idx="0">
                  <c:v>DEVELON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总结!$O$1:$T$1</c:f>
              <c:strCache>
                <c:ptCount val="6"/>
                <c:pt idx="0">
                  <c:v>12~14</c:v>
                </c:pt>
                <c:pt idx="1">
                  <c:v>21~24</c:v>
                </c:pt>
                <c:pt idx="2">
                  <c:v>24~28</c:v>
                </c:pt>
                <c:pt idx="3">
                  <c:v>28~33</c:v>
                </c:pt>
                <c:pt idx="4">
                  <c:v>33~40</c:v>
                </c:pt>
                <c:pt idx="5">
                  <c:v>40~60</c:v>
                </c:pt>
              </c:strCache>
            </c:strRef>
          </c:xVal>
          <c:yVal>
            <c:numRef>
              <c:f>总结!$O$9:$T$9</c:f>
              <c:numCache>
                <c:formatCode>General</c:formatCode>
                <c:ptCount val="6"/>
                <c:pt idx="0">
                  <c:v>3.1080000000000001</c:v>
                </c:pt>
                <c:pt idx="1">
                  <c:v>3.3439999999999999</c:v>
                </c:pt>
                <c:pt idx="2">
                  <c:v>3.6880000000000002</c:v>
                </c:pt>
                <c:pt idx="3">
                  <c:v>3.2679999999999998</c:v>
                </c:pt>
                <c:pt idx="4">
                  <c:v>3.0840000000000001</c:v>
                </c:pt>
                <c:pt idx="5">
                  <c:v>3.28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A0D-4812-8AE8-06C84D32EE9D}"/>
            </c:ext>
          </c:extLst>
        </c:ser>
        <c:ser>
          <c:idx val="8"/>
          <c:order val="8"/>
          <c:tx>
            <c:strRef>
              <c:f>总结!$N$10</c:f>
              <c:strCache>
                <c:ptCount val="1"/>
                <c:pt idx="0">
                  <c:v>SANY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总结!$O$1:$T$1</c:f>
              <c:strCache>
                <c:ptCount val="6"/>
                <c:pt idx="0">
                  <c:v>12~14</c:v>
                </c:pt>
                <c:pt idx="1">
                  <c:v>21~24</c:v>
                </c:pt>
                <c:pt idx="2">
                  <c:v>24~28</c:v>
                </c:pt>
                <c:pt idx="3">
                  <c:v>28~33</c:v>
                </c:pt>
                <c:pt idx="4">
                  <c:v>33~40</c:v>
                </c:pt>
                <c:pt idx="5">
                  <c:v>40~60</c:v>
                </c:pt>
              </c:strCache>
            </c:strRef>
          </c:xVal>
          <c:yVal>
            <c:numRef>
              <c:f>总结!$O$10:$T$10</c:f>
              <c:numCache>
                <c:formatCode>General</c:formatCode>
                <c:ptCount val="6"/>
                <c:pt idx="0">
                  <c:v>2.3839999999999999</c:v>
                </c:pt>
                <c:pt idx="1">
                  <c:v>2.2440000000000002</c:v>
                </c:pt>
                <c:pt idx="2">
                  <c:v>3.0720000000000001</c:v>
                </c:pt>
                <c:pt idx="3">
                  <c:v>2.7480000000000002</c:v>
                </c:pt>
                <c:pt idx="4">
                  <c:v>2.544</c:v>
                </c:pt>
                <c:pt idx="5">
                  <c:v>2.7959999999999998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A0D-4812-8AE8-06C84D32E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51727"/>
        <c:axId val="1372722879"/>
      </c:scatterChart>
      <c:valAx>
        <c:axId val="1235551727"/>
        <c:scaling>
          <c:orientation val="minMax"/>
          <c:max val="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722879"/>
        <c:crosses val="autoZero"/>
        <c:crossBetween val="midCat"/>
      </c:valAx>
      <c:valAx>
        <c:axId val="1372722879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51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14287</xdr:colOff>
      <xdr:row>57</xdr:row>
      <xdr:rowOff>0</xdr:rowOff>
    </xdr:from>
    <xdr:to>
      <xdr:col>53</xdr:col>
      <xdr:colOff>628650</xdr:colOff>
      <xdr:row>85</xdr:row>
      <xdr:rowOff>82864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76984-BE08-4367-8065-B47805560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9524</xdr:colOff>
      <xdr:row>93</xdr:row>
      <xdr:rowOff>33337</xdr:rowOff>
    </xdr:from>
    <xdr:to>
      <xdr:col>53</xdr:col>
      <xdr:colOff>623887</xdr:colOff>
      <xdr:row>122</xdr:row>
      <xdr:rowOff>135255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4E968D-620F-4812-B5BE-0600FA995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14287</xdr:colOff>
      <xdr:row>57</xdr:row>
      <xdr:rowOff>0</xdr:rowOff>
    </xdr:from>
    <xdr:to>
      <xdr:col>50</xdr:col>
      <xdr:colOff>628650</xdr:colOff>
      <xdr:row>85</xdr:row>
      <xdr:rowOff>82864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5EFC92-90B1-4D7B-AB65-3AE2168CD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9524</xdr:colOff>
      <xdr:row>93</xdr:row>
      <xdr:rowOff>33337</xdr:rowOff>
    </xdr:from>
    <xdr:to>
      <xdr:col>50</xdr:col>
      <xdr:colOff>623887</xdr:colOff>
      <xdr:row>122</xdr:row>
      <xdr:rowOff>135255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C5E167-D1BA-4814-B91F-6F5A14FA9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14287</xdr:colOff>
      <xdr:row>57</xdr:row>
      <xdr:rowOff>0</xdr:rowOff>
    </xdr:from>
    <xdr:to>
      <xdr:col>53</xdr:col>
      <xdr:colOff>628650</xdr:colOff>
      <xdr:row>85</xdr:row>
      <xdr:rowOff>82864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72E5FD-70E5-4113-9A09-563684D3A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9524</xdr:colOff>
      <xdr:row>93</xdr:row>
      <xdr:rowOff>33337</xdr:rowOff>
    </xdr:from>
    <xdr:to>
      <xdr:col>53</xdr:col>
      <xdr:colOff>623887</xdr:colOff>
      <xdr:row>122</xdr:row>
      <xdr:rowOff>135255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99F3F2-7056-4768-9715-0658F3D6C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14287</xdr:colOff>
      <xdr:row>57</xdr:row>
      <xdr:rowOff>0</xdr:rowOff>
    </xdr:from>
    <xdr:to>
      <xdr:col>47</xdr:col>
      <xdr:colOff>628650</xdr:colOff>
      <xdr:row>85</xdr:row>
      <xdr:rowOff>82864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A4CB2-27B6-407E-B6B3-166265941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9524</xdr:colOff>
      <xdr:row>93</xdr:row>
      <xdr:rowOff>33337</xdr:rowOff>
    </xdr:from>
    <xdr:to>
      <xdr:col>47</xdr:col>
      <xdr:colOff>623887</xdr:colOff>
      <xdr:row>122</xdr:row>
      <xdr:rowOff>135255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BDAE77-E387-455A-B66E-5D46BD406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14287</xdr:colOff>
      <xdr:row>57</xdr:row>
      <xdr:rowOff>0</xdr:rowOff>
    </xdr:from>
    <xdr:to>
      <xdr:col>50</xdr:col>
      <xdr:colOff>628650</xdr:colOff>
      <xdr:row>85</xdr:row>
      <xdr:rowOff>82864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E0C5CB-40D0-4856-B045-4DD72449F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9524</xdr:colOff>
      <xdr:row>93</xdr:row>
      <xdr:rowOff>33337</xdr:rowOff>
    </xdr:from>
    <xdr:to>
      <xdr:col>50</xdr:col>
      <xdr:colOff>623887</xdr:colOff>
      <xdr:row>122</xdr:row>
      <xdr:rowOff>135255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38824D-841C-4430-9FF9-D2DD689DB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14287</xdr:colOff>
      <xdr:row>64</xdr:row>
      <xdr:rowOff>0</xdr:rowOff>
    </xdr:from>
    <xdr:to>
      <xdr:col>47</xdr:col>
      <xdr:colOff>628650</xdr:colOff>
      <xdr:row>92</xdr:row>
      <xdr:rowOff>82864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F1087D-CB59-467E-9041-094F6BCB9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9524</xdr:colOff>
      <xdr:row>100</xdr:row>
      <xdr:rowOff>33337</xdr:rowOff>
    </xdr:from>
    <xdr:to>
      <xdr:col>47</xdr:col>
      <xdr:colOff>623887</xdr:colOff>
      <xdr:row>129</xdr:row>
      <xdr:rowOff>135255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F54871-1C6D-4D80-87B6-272727149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631031</xdr:colOff>
      <xdr:row>31</xdr:row>
      <xdr:rowOff>80961</xdr:rowOff>
    </xdr:from>
    <xdr:to>
      <xdr:col>44</xdr:col>
      <xdr:colOff>602456</xdr:colOff>
      <xdr:row>58</xdr:row>
      <xdr:rowOff>173354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D0162E-C4E8-8F13-362D-17EE1A93B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4762</xdr:colOff>
      <xdr:row>67</xdr:row>
      <xdr:rowOff>95250</xdr:rowOff>
    </xdr:from>
    <xdr:to>
      <xdr:col>44</xdr:col>
      <xdr:colOff>619124</xdr:colOff>
      <xdr:row>97</xdr:row>
      <xdr:rowOff>20955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DA48E7-FA92-A4B3-CB0C-56E2D20E9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9522</xdr:colOff>
      <xdr:row>31</xdr:row>
      <xdr:rowOff>66674</xdr:rowOff>
    </xdr:from>
    <xdr:to>
      <xdr:col>41</xdr:col>
      <xdr:colOff>552447</xdr:colOff>
      <xdr:row>48</xdr:row>
      <xdr:rowOff>85723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EFAD61-20A5-408E-8E2F-A6D4B2116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523874</xdr:colOff>
      <xdr:row>56</xdr:row>
      <xdr:rowOff>133350</xdr:rowOff>
    </xdr:from>
    <xdr:to>
      <xdr:col>42</xdr:col>
      <xdr:colOff>423862</xdr:colOff>
      <xdr:row>72</xdr:row>
      <xdr:rowOff>195263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6C8073-65EB-455F-9067-4D08DEBA6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328613</xdr:colOff>
      <xdr:row>10</xdr:row>
      <xdr:rowOff>85727</xdr:rowOff>
    </xdr:from>
    <xdr:to>
      <xdr:col>7</xdr:col>
      <xdr:colOff>366713</xdr:colOff>
      <xdr:row>35</xdr:row>
      <xdr:rowOff>133352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5EC3DC12-FA34-9F6F-C6CE-516726E686C6}"/>
            </a:ext>
          </a:extLst>
        </xdr:cNvPr>
        <xdr:cNvGrpSpPr/>
      </xdr:nvGrpSpPr>
      <xdr:grpSpPr>
        <a:xfrm>
          <a:off x="328613" y="1990727"/>
          <a:ext cx="4305300" cy="4810125"/>
          <a:chOff x="385763" y="1890714"/>
          <a:chExt cx="4572000" cy="45720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44799201-9E1C-DEA8-44CA-A3B151DB3501}"/>
              </a:ext>
            </a:extLst>
          </xdr:cNvPr>
          <xdr:cNvGraphicFramePr/>
        </xdr:nvGraphicFramePr>
        <xdr:xfrm>
          <a:off x="385763" y="1890714"/>
          <a:ext cx="4572000" cy="457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FD23CAB2-08FA-F460-3916-DE0A45507F40}"/>
              </a:ext>
            </a:extLst>
          </xdr:cNvPr>
          <xdr:cNvSpPr txBox="1"/>
        </xdr:nvSpPr>
        <xdr:spPr>
          <a:xfrm>
            <a:off x="519112" y="5672138"/>
            <a:ext cx="457200" cy="2743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1~2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48323CFD-2C46-4E51-9F3A-62DF8F758A3E}"/>
              </a:ext>
            </a:extLst>
          </xdr:cNvPr>
          <xdr:cNvSpPr txBox="1"/>
        </xdr:nvSpPr>
        <xdr:spPr>
          <a:xfrm>
            <a:off x="1309688" y="5686425"/>
            <a:ext cx="457200" cy="2743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2~3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FEA1B090-8AB7-46AF-A142-B114FCE95004}"/>
              </a:ext>
            </a:extLst>
          </xdr:cNvPr>
          <xdr:cNvSpPr txBox="1"/>
        </xdr:nvSpPr>
        <xdr:spPr>
          <a:xfrm>
            <a:off x="2114550" y="5686425"/>
            <a:ext cx="457200" cy="2743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3~4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5B0DFB2D-A112-4D4A-9D32-C81DA2114A68}"/>
              </a:ext>
            </a:extLst>
          </xdr:cNvPr>
          <xdr:cNvSpPr txBox="1"/>
        </xdr:nvSpPr>
        <xdr:spPr>
          <a:xfrm>
            <a:off x="2943225" y="5681662"/>
            <a:ext cx="457200" cy="2743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4~5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E062209-BD17-4982-BFE7-F4C7267EDB0C}"/>
              </a:ext>
            </a:extLst>
          </xdr:cNvPr>
          <xdr:cNvSpPr txBox="1"/>
        </xdr:nvSpPr>
        <xdr:spPr>
          <a:xfrm>
            <a:off x="3757612" y="5686425"/>
            <a:ext cx="457200" cy="2743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5~6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659FD47-A641-4C09-BF10-52704EAC9BAE}"/>
              </a:ext>
            </a:extLst>
          </xdr:cNvPr>
          <xdr:cNvSpPr txBox="1"/>
        </xdr:nvSpPr>
        <xdr:spPr>
          <a:xfrm>
            <a:off x="4471987" y="5686425"/>
            <a:ext cx="457200" cy="2743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t"/>
          <a:lstStyle/>
          <a:p>
            <a:pPr algn="ctr"/>
            <a:r>
              <a:rPr lang="en-US" sz="1100"/>
              <a:t>8~10</a:t>
            </a:r>
          </a:p>
        </xdr:txBody>
      </xdr:sp>
    </xdr:grpSp>
    <xdr:clientData/>
  </xdr:twoCellAnchor>
  <xdr:twoCellAnchor>
    <xdr:from>
      <xdr:col>7</xdr:col>
      <xdr:colOff>645318</xdr:colOff>
      <xdr:row>10</xdr:row>
      <xdr:rowOff>80963</xdr:rowOff>
    </xdr:from>
    <xdr:to>
      <xdr:col>15</xdr:col>
      <xdr:colOff>35718</xdr:colOff>
      <xdr:row>35</xdr:row>
      <xdr:rowOff>128588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3484FF0-1F5A-1C5B-18DB-45DF8C277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85724</xdr:colOff>
      <xdr:row>31</xdr:row>
      <xdr:rowOff>76200</xdr:rowOff>
    </xdr:from>
    <xdr:to>
      <xdr:col>8</xdr:col>
      <xdr:colOff>634364</xdr:colOff>
      <xdr:row>32</xdr:row>
      <xdr:rowOff>169545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12E8365-3B0B-4E31-9A49-F4E701ECAC8E}"/>
            </a:ext>
          </a:extLst>
        </xdr:cNvPr>
        <xdr:cNvSpPr txBox="1"/>
      </xdr:nvSpPr>
      <xdr:spPr>
        <a:xfrm>
          <a:off x="5267324" y="5686425"/>
          <a:ext cx="548640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14~16</a:t>
          </a:r>
        </a:p>
      </xdr:txBody>
    </xdr:sp>
    <xdr:clientData/>
  </xdr:twoCellAnchor>
  <xdr:twoCellAnchor>
    <xdr:from>
      <xdr:col>11</xdr:col>
      <xdr:colOff>166688</xdr:colOff>
      <xdr:row>31</xdr:row>
      <xdr:rowOff>76200</xdr:rowOff>
    </xdr:from>
    <xdr:to>
      <xdr:col>12</xdr:col>
      <xdr:colOff>67628</xdr:colOff>
      <xdr:row>32</xdr:row>
      <xdr:rowOff>169545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BD5C2CC-EA29-44B1-B276-8707444A3BFD}"/>
            </a:ext>
          </a:extLst>
        </xdr:cNvPr>
        <xdr:cNvSpPr txBox="1"/>
      </xdr:nvSpPr>
      <xdr:spPr>
        <a:xfrm>
          <a:off x="7291388" y="5686425"/>
          <a:ext cx="548640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24~28</a:t>
          </a:r>
        </a:p>
      </xdr:txBody>
    </xdr:sp>
    <xdr:clientData/>
  </xdr:twoCellAnchor>
  <xdr:twoCellAnchor>
    <xdr:from>
      <xdr:col>14</xdr:col>
      <xdr:colOff>257175</xdr:colOff>
      <xdr:row>31</xdr:row>
      <xdr:rowOff>71437</xdr:rowOff>
    </xdr:from>
    <xdr:to>
      <xdr:col>15</xdr:col>
      <xdr:colOff>158115</xdr:colOff>
      <xdr:row>32</xdr:row>
      <xdr:rowOff>164782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A09AE58-11DA-4967-B901-F5348F2857EF}"/>
            </a:ext>
          </a:extLst>
        </xdr:cNvPr>
        <xdr:cNvSpPr txBox="1"/>
      </xdr:nvSpPr>
      <xdr:spPr>
        <a:xfrm>
          <a:off x="9324975" y="5681662"/>
          <a:ext cx="548640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33~40</a:t>
          </a:r>
        </a:p>
      </xdr:txBody>
    </xdr:sp>
    <xdr:clientData/>
  </xdr:twoCellAnchor>
  <xdr:twoCellAnchor>
    <xdr:from>
      <xdr:col>15</xdr:col>
      <xdr:colOff>326231</xdr:colOff>
      <xdr:row>10</xdr:row>
      <xdr:rowOff>85725</xdr:rowOff>
    </xdr:from>
    <xdr:to>
      <xdr:col>22</xdr:col>
      <xdr:colOff>458152</xdr:colOff>
      <xdr:row>35</xdr:row>
      <xdr:rowOff>133350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B28F58CC-DDF6-BFD3-CDD1-66D407E75B00}"/>
            </a:ext>
          </a:extLst>
        </xdr:cNvPr>
        <xdr:cNvGrpSpPr/>
      </xdr:nvGrpSpPr>
      <xdr:grpSpPr>
        <a:xfrm>
          <a:off x="9470231" y="1990725"/>
          <a:ext cx="4399121" cy="4810125"/>
          <a:chOff x="10041731" y="1895475"/>
          <a:chExt cx="4665821" cy="4572000"/>
        </a:xfrm>
      </xdr:grpSpPr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D47EE92B-E242-0ECF-FD04-4F57FE0E9AFB}"/>
              </a:ext>
            </a:extLst>
          </xdr:cNvPr>
          <xdr:cNvGraphicFramePr/>
        </xdr:nvGraphicFramePr>
        <xdr:xfrm>
          <a:off x="10041731" y="1895475"/>
          <a:ext cx="4572000" cy="457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E03E824-7DD3-4EED-8362-78F8F91906D8}"/>
              </a:ext>
            </a:extLst>
          </xdr:cNvPr>
          <xdr:cNvSpPr txBox="1"/>
        </xdr:nvSpPr>
        <xdr:spPr>
          <a:xfrm>
            <a:off x="10125075" y="5681663"/>
            <a:ext cx="548640" cy="2743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12~14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DA236978-22B4-4F4C-B5AD-D271FB3F423E}"/>
              </a:ext>
            </a:extLst>
          </xdr:cNvPr>
          <xdr:cNvSpPr txBox="1"/>
        </xdr:nvSpPr>
        <xdr:spPr>
          <a:xfrm>
            <a:off x="10944225" y="5686425"/>
            <a:ext cx="548640" cy="2743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21~24</a:t>
            </a: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6C6DB0B4-F4C2-4687-973D-209CD1303B44}"/>
              </a:ext>
            </a:extLst>
          </xdr:cNvPr>
          <xdr:cNvSpPr txBox="1"/>
        </xdr:nvSpPr>
        <xdr:spPr>
          <a:xfrm>
            <a:off x="11739563" y="5691187"/>
            <a:ext cx="548640" cy="2743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24~28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587B7149-EEEE-4992-939F-FC10DF096B6F}"/>
              </a:ext>
            </a:extLst>
          </xdr:cNvPr>
          <xdr:cNvSpPr txBox="1"/>
        </xdr:nvSpPr>
        <xdr:spPr>
          <a:xfrm>
            <a:off x="12577763" y="5691188"/>
            <a:ext cx="548640" cy="2743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28~33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63E6FEEE-6A14-4E87-9470-D6C96394B091}"/>
              </a:ext>
            </a:extLst>
          </xdr:cNvPr>
          <xdr:cNvSpPr txBox="1"/>
        </xdr:nvSpPr>
        <xdr:spPr>
          <a:xfrm>
            <a:off x="13373100" y="5691188"/>
            <a:ext cx="548640" cy="2743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33~40</a:t>
            </a: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D9C6A7F-92CC-4E62-AFC0-184C692CCE98}"/>
              </a:ext>
            </a:extLst>
          </xdr:cNvPr>
          <xdr:cNvSpPr txBox="1"/>
        </xdr:nvSpPr>
        <xdr:spPr>
          <a:xfrm>
            <a:off x="14158912" y="5691187"/>
            <a:ext cx="548640" cy="2743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40~60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uchang2134.github.io/xcmg-mini-excavator-dashboard/arc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71C5-6FDF-4B4C-B8AB-2E3320B8FD4A}">
  <dimension ref="B2:B5"/>
  <sheetViews>
    <sheetView workbookViewId="0">
      <selection activeCell="C12" sqref="C12"/>
    </sheetView>
  </sheetViews>
  <sheetFormatPr defaultRowHeight="15" x14ac:dyDescent="0.25"/>
  <sheetData>
    <row r="2" spans="2:2" x14ac:dyDescent="0.25">
      <c r="B2" s="113"/>
    </row>
    <row r="5" spans="2:2" x14ac:dyDescent="0.25">
      <c r="B5" s="113" t="s">
        <v>642</v>
      </c>
    </row>
  </sheetData>
  <hyperlinks>
    <hyperlink ref="B5" r:id="rId1" xr:uid="{EC34527A-6D53-4786-B9D7-2E9904E328E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7B1F-1A38-4DDD-B1F0-B1BCEBDD7D50}">
  <dimension ref="A1:BF129"/>
  <sheetViews>
    <sheetView zoomScaleNormal="100" workbookViewId="0">
      <pane xSplit="7" ySplit="1" topLeftCell="Z2" activePane="bottomRight" state="frozen"/>
      <selection pane="topRight" activeCell="H1" sqref="H1"/>
      <selection pane="bottomLeft" activeCell="A2" sqref="A2"/>
      <selection pane="bottomRight" activeCell="AC55" sqref="AC55"/>
    </sheetView>
  </sheetViews>
  <sheetFormatPr defaultColWidth="9" defaultRowHeight="16.5" x14ac:dyDescent="0.35"/>
  <cols>
    <col min="1" max="1" width="13.28515625" style="9" customWidth="1"/>
    <col min="2" max="2" width="13.7109375" style="9" customWidth="1"/>
    <col min="3" max="3" width="31.85546875" style="9" customWidth="1"/>
    <col min="4" max="4" width="9" style="14"/>
    <col min="5" max="5" width="16.7109375" style="14" customWidth="1"/>
    <col min="6" max="6" width="4.42578125" style="14" bestFit="1" customWidth="1"/>
    <col min="7" max="7" width="4.42578125" style="14" customWidth="1"/>
    <col min="8" max="8" width="15.85546875" style="14" customWidth="1"/>
    <col min="9" max="9" width="4.42578125" style="14" bestFit="1" customWidth="1"/>
    <col min="10" max="10" width="4.42578125" style="14" customWidth="1"/>
    <col min="11" max="11" width="17.28515625" style="14" customWidth="1"/>
    <col min="12" max="13" width="4.42578125" style="14" customWidth="1"/>
    <col min="14" max="14" width="14.5703125" style="14" customWidth="1"/>
    <col min="15" max="16" width="4.42578125" style="14" customWidth="1"/>
    <col min="17" max="17" width="15.7109375" style="9" customWidth="1"/>
    <col min="18" max="18" width="4.42578125" style="9" bestFit="1" customWidth="1"/>
    <col min="19" max="19" width="4.42578125" style="9" customWidth="1"/>
    <col min="20" max="20" width="17" style="9" customWidth="1"/>
    <col min="21" max="21" width="4.42578125" style="9" bestFit="1" customWidth="1"/>
    <col min="22" max="22" width="4.42578125" style="9" customWidth="1"/>
    <col min="23" max="23" width="11.5703125" style="9" bestFit="1" customWidth="1"/>
    <col min="24" max="24" width="4.42578125" style="9" bestFit="1" customWidth="1"/>
    <col min="25" max="25" width="4.42578125" style="9" customWidth="1"/>
    <col min="26" max="26" width="13.5703125" style="9" customWidth="1"/>
    <col min="27" max="27" width="4.42578125" style="9" bestFit="1" customWidth="1"/>
    <col min="28" max="28" width="4.42578125" style="9" customWidth="1"/>
    <col min="29" max="29" width="12.7109375" style="9" bestFit="1" customWidth="1"/>
    <col min="30" max="30" width="4.42578125" style="9" bestFit="1" customWidth="1"/>
    <col min="31" max="31" width="4.42578125" style="9" customWidth="1"/>
    <col min="32" max="32" width="13.5703125" style="9" bestFit="1" customWidth="1"/>
    <col min="33" max="33" width="4.42578125" style="9" bestFit="1" customWidth="1"/>
    <col min="34" max="34" width="4.42578125" style="9" customWidth="1"/>
    <col min="35" max="35" width="12.5703125" style="9" bestFit="1" customWidth="1"/>
    <col min="36" max="36" width="4.42578125" style="9" bestFit="1" customWidth="1"/>
    <col min="37" max="37" width="4.42578125" style="9" customWidth="1"/>
    <col min="38" max="38" width="13.140625" style="9" bestFit="1" customWidth="1"/>
    <col min="39" max="39" width="4.42578125" style="9" bestFit="1" customWidth="1"/>
    <col min="40" max="40" width="4.42578125" style="9" customWidth="1"/>
    <col min="41" max="41" width="12.5703125" style="9" customWidth="1"/>
    <col min="42" max="43" width="4.42578125" style="9" bestFit="1" customWidth="1"/>
    <col min="44" max="44" width="10.28515625" style="9" customWidth="1"/>
    <col min="45" max="16384" width="9" style="9"/>
  </cols>
  <sheetData>
    <row r="1" spans="1:58" ht="34.5" customHeight="1" x14ac:dyDescent="0.35">
      <c r="A1" s="76" t="s">
        <v>313</v>
      </c>
      <c r="B1" s="76" t="s">
        <v>314</v>
      </c>
      <c r="C1" s="77" t="s">
        <v>315</v>
      </c>
      <c r="D1" s="78" t="s">
        <v>316</v>
      </c>
      <c r="E1" s="78" t="s">
        <v>690</v>
      </c>
      <c r="F1" s="134" t="s">
        <v>317</v>
      </c>
      <c r="G1" s="135"/>
      <c r="H1" s="78" t="s">
        <v>695</v>
      </c>
      <c r="I1" s="134" t="s">
        <v>317</v>
      </c>
      <c r="J1" s="135"/>
      <c r="K1" s="77" t="s">
        <v>698</v>
      </c>
      <c r="L1" s="77"/>
      <c r="M1" s="77"/>
      <c r="N1" s="77" t="s">
        <v>700</v>
      </c>
      <c r="O1" s="134" t="s">
        <v>317</v>
      </c>
      <c r="P1" s="135"/>
      <c r="Q1" s="78" t="s">
        <v>701</v>
      </c>
      <c r="R1" s="134" t="s">
        <v>317</v>
      </c>
      <c r="S1" s="135"/>
      <c r="T1" s="78" t="s">
        <v>702</v>
      </c>
      <c r="U1" s="134" t="s">
        <v>317</v>
      </c>
      <c r="V1" s="135"/>
      <c r="W1" s="78" t="s">
        <v>706</v>
      </c>
      <c r="X1" s="134" t="s">
        <v>317</v>
      </c>
      <c r="Y1" s="135"/>
      <c r="Z1" s="78" t="s">
        <v>709</v>
      </c>
      <c r="AA1" s="134" t="s">
        <v>317</v>
      </c>
      <c r="AB1" s="135"/>
      <c r="AC1" s="78" t="s">
        <v>712</v>
      </c>
      <c r="AD1" s="134" t="s">
        <v>317</v>
      </c>
      <c r="AE1" s="135"/>
      <c r="AF1" s="78"/>
      <c r="AG1" s="134" t="s">
        <v>317</v>
      </c>
      <c r="AH1" s="135"/>
      <c r="AI1" s="78"/>
      <c r="AJ1" s="134" t="s">
        <v>317</v>
      </c>
      <c r="AK1" s="135"/>
      <c r="AL1" s="78"/>
      <c r="AM1" s="134" t="s">
        <v>317</v>
      </c>
      <c r="AN1" s="135"/>
      <c r="AO1" s="78"/>
      <c r="AP1" s="134" t="s">
        <v>317</v>
      </c>
      <c r="AQ1" s="135"/>
      <c r="AR1" s="70"/>
      <c r="AS1" s="79" t="s">
        <v>318</v>
      </c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</row>
    <row r="2" spans="1:58" s="61" customFormat="1" ht="30" x14ac:dyDescent="0.35">
      <c r="A2" s="99" t="s">
        <v>557</v>
      </c>
      <c r="B2" s="101" t="s">
        <v>559</v>
      </c>
      <c r="C2" s="101" t="s">
        <v>573</v>
      </c>
      <c r="D2" s="101" t="s">
        <v>558</v>
      </c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90"/>
      <c r="AS2" s="10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</row>
    <row r="3" spans="1:58" ht="15" customHeight="1" x14ac:dyDescent="0.35">
      <c r="A3" s="136" t="s">
        <v>319</v>
      </c>
      <c r="B3" s="126" t="s">
        <v>320</v>
      </c>
      <c r="C3" s="80" t="s">
        <v>527</v>
      </c>
      <c r="D3" s="80" t="s">
        <v>0</v>
      </c>
      <c r="E3" s="80">
        <v>41150</v>
      </c>
      <c r="F3" s="80"/>
      <c r="G3" s="130"/>
      <c r="H3" s="80">
        <v>33216</v>
      </c>
      <c r="I3" s="80"/>
      <c r="J3" s="130"/>
      <c r="K3" s="80">
        <v>34565</v>
      </c>
      <c r="L3" s="80"/>
      <c r="M3" s="80"/>
      <c r="N3" s="80">
        <v>33782</v>
      </c>
      <c r="O3" s="80"/>
      <c r="P3" s="80"/>
      <c r="Q3" s="72">
        <v>34061</v>
      </c>
      <c r="R3" s="72"/>
      <c r="S3" s="122"/>
      <c r="T3" s="72">
        <v>40923</v>
      </c>
      <c r="U3" s="72"/>
      <c r="V3" s="122"/>
      <c r="W3" s="72">
        <v>40560</v>
      </c>
      <c r="X3" s="72"/>
      <c r="Y3" s="122"/>
      <c r="Z3" s="72">
        <v>44300</v>
      </c>
      <c r="AA3" s="72"/>
      <c r="AB3" s="122"/>
      <c r="AC3" s="72">
        <v>35645</v>
      </c>
      <c r="AD3" s="72"/>
      <c r="AE3" s="122"/>
      <c r="AF3" s="72"/>
      <c r="AG3" s="72"/>
      <c r="AH3" s="122"/>
      <c r="AI3" s="72"/>
      <c r="AJ3" s="72"/>
      <c r="AK3" s="122"/>
      <c r="AL3" s="72"/>
      <c r="AM3" s="72"/>
      <c r="AN3" s="122"/>
      <c r="AO3" s="72"/>
      <c r="AP3" s="72"/>
      <c r="AQ3" s="122"/>
      <c r="AR3" s="70" t="s">
        <v>320</v>
      </c>
      <c r="AS3" s="81" t="s">
        <v>322</v>
      </c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</row>
    <row r="4" spans="1:58" ht="13.9" customHeight="1" x14ac:dyDescent="0.35">
      <c r="A4" s="137"/>
      <c r="B4" s="126"/>
      <c r="C4" s="80" t="s">
        <v>323</v>
      </c>
      <c r="D4" s="80" t="s">
        <v>1</v>
      </c>
      <c r="E4" s="80">
        <v>3000</v>
      </c>
      <c r="F4" s="80"/>
      <c r="G4" s="133"/>
      <c r="H4" s="80">
        <v>2981</v>
      </c>
      <c r="I4" s="80"/>
      <c r="J4" s="133"/>
      <c r="K4" s="80">
        <v>2990</v>
      </c>
      <c r="L4" s="80"/>
      <c r="M4" s="80"/>
      <c r="N4" s="80">
        <v>3079</v>
      </c>
      <c r="O4" s="80"/>
      <c r="P4" s="80"/>
      <c r="Q4" s="72">
        <v>3079</v>
      </c>
      <c r="R4" s="72"/>
      <c r="S4" s="118"/>
      <c r="T4" s="72">
        <v>3200</v>
      </c>
      <c r="U4" s="72"/>
      <c r="V4" s="118"/>
      <c r="W4" s="72">
        <v>2935</v>
      </c>
      <c r="X4" s="72"/>
      <c r="Y4" s="118"/>
      <c r="Z4" s="72">
        <v>3300</v>
      </c>
      <c r="AA4" s="72"/>
      <c r="AB4" s="118"/>
      <c r="AC4" s="72">
        <v>2980</v>
      </c>
      <c r="AD4" s="72"/>
      <c r="AE4" s="118"/>
      <c r="AF4" s="72"/>
      <c r="AG4" s="72"/>
      <c r="AH4" s="118"/>
      <c r="AI4" s="72"/>
      <c r="AJ4" s="72"/>
      <c r="AK4" s="118"/>
      <c r="AL4" s="72"/>
      <c r="AM4" s="72"/>
      <c r="AN4" s="118"/>
      <c r="AO4" s="72"/>
      <c r="AP4" s="72"/>
      <c r="AQ4" s="118"/>
      <c r="AR4" s="70" t="s">
        <v>324</v>
      </c>
      <c r="AS4" s="81" t="s">
        <v>325</v>
      </c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</row>
    <row r="5" spans="1:58" ht="13.9" customHeight="1" x14ac:dyDescent="0.35">
      <c r="A5" s="137"/>
      <c r="B5" s="126"/>
      <c r="C5" s="80" t="s">
        <v>326</v>
      </c>
      <c r="D5" s="80" t="s">
        <v>1</v>
      </c>
      <c r="E5" s="80">
        <v>3590</v>
      </c>
      <c r="F5" s="80"/>
      <c r="G5" s="133"/>
      <c r="H5" s="80">
        <v>3731</v>
      </c>
      <c r="I5" s="80"/>
      <c r="J5" s="133"/>
      <c r="K5" s="80">
        <v>3876</v>
      </c>
      <c r="L5" s="80"/>
      <c r="M5" s="80"/>
      <c r="N5" s="80">
        <v>3478</v>
      </c>
      <c r="O5" s="80"/>
      <c r="P5" s="80"/>
      <c r="Q5" s="72">
        <v>3478</v>
      </c>
      <c r="R5" s="72"/>
      <c r="S5" s="118"/>
      <c r="T5" s="72">
        <v>3700</v>
      </c>
      <c r="U5" s="72"/>
      <c r="V5" s="118"/>
      <c r="W5" s="72">
        <v>3874</v>
      </c>
      <c r="X5" s="72"/>
      <c r="Y5" s="118"/>
      <c r="Z5" s="72">
        <v>3890</v>
      </c>
      <c r="AA5" s="72"/>
      <c r="AB5" s="118"/>
      <c r="AC5" s="72">
        <v>3780</v>
      </c>
      <c r="AD5" s="72"/>
      <c r="AE5" s="118"/>
      <c r="AF5" s="72"/>
      <c r="AG5" s="72"/>
      <c r="AH5" s="118"/>
      <c r="AI5" s="72"/>
      <c r="AJ5" s="72"/>
      <c r="AK5" s="118"/>
      <c r="AL5" s="72"/>
      <c r="AM5" s="72"/>
      <c r="AN5" s="118"/>
      <c r="AO5" s="72"/>
      <c r="AP5" s="72"/>
      <c r="AQ5" s="118"/>
      <c r="AR5" s="70" t="s">
        <v>327</v>
      </c>
      <c r="AS5" s="81" t="s">
        <v>328</v>
      </c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</row>
    <row r="6" spans="1:58" ht="13.9" customHeight="1" x14ac:dyDescent="0.35">
      <c r="A6" s="137"/>
      <c r="B6" s="126"/>
      <c r="C6" s="80" t="s">
        <v>329</v>
      </c>
      <c r="D6" s="80" t="s">
        <v>1</v>
      </c>
      <c r="E6" s="80">
        <v>13762</v>
      </c>
      <c r="F6" s="80"/>
      <c r="G6" s="133"/>
      <c r="H6" s="80">
        <v>13055</v>
      </c>
      <c r="I6" s="80"/>
      <c r="J6" s="133"/>
      <c r="K6" s="80">
        <v>14348</v>
      </c>
      <c r="L6" s="80"/>
      <c r="M6" s="80"/>
      <c r="N6" s="80">
        <v>12660</v>
      </c>
      <c r="O6" s="80"/>
      <c r="P6" s="80"/>
      <c r="Q6" s="72">
        <v>12788</v>
      </c>
      <c r="R6" s="72"/>
      <c r="S6" s="118"/>
      <c r="T6" s="72">
        <v>14400</v>
      </c>
      <c r="U6" s="72"/>
      <c r="V6" s="118"/>
      <c r="W6" s="72">
        <v>12824</v>
      </c>
      <c r="X6" s="72"/>
      <c r="Y6" s="118"/>
      <c r="Z6" s="72">
        <v>14180</v>
      </c>
      <c r="AA6" s="72"/>
      <c r="AB6" s="118"/>
      <c r="AC6" s="72">
        <v>13087</v>
      </c>
      <c r="AD6" s="72"/>
      <c r="AE6" s="118"/>
      <c r="AF6" s="72"/>
      <c r="AG6" s="72"/>
      <c r="AH6" s="118"/>
      <c r="AI6" s="72"/>
      <c r="AJ6" s="72"/>
      <c r="AK6" s="118"/>
      <c r="AL6" s="72"/>
      <c r="AM6" s="72"/>
      <c r="AN6" s="118"/>
      <c r="AO6" s="72"/>
      <c r="AP6" s="72"/>
      <c r="AQ6" s="118"/>
      <c r="AR6" s="70"/>
      <c r="AS6" s="81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</row>
    <row r="7" spans="1:58" ht="13.9" customHeight="1" x14ac:dyDescent="0.35">
      <c r="A7" s="137"/>
      <c r="B7" s="126"/>
      <c r="C7" s="80" t="s">
        <v>554</v>
      </c>
      <c r="D7" s="80" t="s">
        <v>0</v>
      </c>
      <c r="E7" s="80" t="s">
        <v>692</v>
      </c>
      <c r="F7" s="80"/>
      <c r="G7" s="133"/>
      <c r="H7" s="80"/>
      <c r="I7" s="80"/>
      <c r="J7" s="133"/>
      <c r="K7" s="80" t="s">
        <v>699</v>
      </c>
      <c r="L7" s="80"/>
      <c r="M7" s="80"/>
      <c r="N7" s="80" t="s">
        <v>692</v>
      </c>
      <c r="O7" s="80"/>
      <c r="P7" s="80"/>
      <c r="Q7" s="72" t="s">
        <v>692</v>
      </c>
      <c r="R7" s="72"/>
      <c r="S7" s="118"/>
      <c r="T7" s="72" t="s">
        <v>692</v>
      </c>
      <c r="U7" s="72"/>
      <c r="V7" s="118"/>
      <c r="W7" s="72" t="s">
        <v>692</v>
      </c>
      <c r="X7" s="72"/>
      <c r="Y7" s="118"/>
      <c r="Z7" s="72" t="s">
        <v>692</v>
      </c>
      <c r="AA7" s="72"/>
      <c r="AB7" s="118"/>
      <c r="AC7" s="72" t="s">
        <v>692</v>
      </c>
      <c r="AD7" s="72"/>
      <c r="AE7" s="118"/>
      <c r="AF7" s="72"/>
      <c r="AG7" s="72"/>
      <c r="AH7" s="118"/>
      <c r="AI7" s="72"/>
      <c r="AJ7" s="72"/>
      <c r="AK7" s="118"/>
      <c r="AL7" s="72"/>
      <c r="AM7" s="72"/>
      <c r="AN7" s="118"/>
      <c r="AO7" s="72"/>
      <c r="AP7" s="72"/>
      <c r="AQ7" s="118"/>
      <c r="AR7" s="70"/>
      <c r="AS7" s="81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</row>
    <row r="8" spans="1:58" ht="15" customHeight="1" x14ac:dyDescent="0.35">
      <c r="A8" s="137"/>
      <c r="B8" s="126"/>
      <c r="C8" s="10" t="s">
        <v>555</v>
      </c>
      <c r="D8" s="7"/>
      <c r="E8" s="80">
        <v>1</v>
      </c>
      <c r="F8" s="80"/>
      <c r="G8" s="131"/>
      <c r="H8" s="80"/>
      <c r="I8" s="80"/>
      <c r="J8" s="131"/>
      <c r="K8" s="80">
        <v>1</v>
      </c>
      <c r="L8" s="80"/>
      <c r="M8" s="80"/>
      <c r="N8" s="80">
        <v>1</v>
      </c>
      <c r="O8" s="80"/>
      <c r="P8" s="80"/>
      <c r="Q8" s="72">
        <v>1</v>
      </c>
      <c r="R8" s="72"/>
      <c r="S8" s="125"/>
      <c r="T8" s="72">
        <v>1</v>
      </c>
      <c r="U8" s="72"/>
      <c r="V8" s="125"/>
      <c r="W8" s="72">
        <v>1</v>
      </c>
      <c r="X8" s="72"/>
      <c r="Y8" s="125"/>
      <c r="Z8" s="72">
        <v>1</v>
      </c>
      <c r="AA8" s="72"/>
      <c r="AB8" s="125"/>
      <c r="AC8" s="72">
        <v>1</v>
      </c>
      <c r="AD8" s="72"/>
      <c r="AE8" s="125"/>
      <c r="AF8" s="72"/>
      <c r="AG8" s="72"/>
      <c r="AH8" s="125"/>
      <c r="AI8" s="72"/>
      <c r="AJ8" s="72"/>
      <c r="AK8" s="125"/>
      <c r="AL8" s="72"/>
      <c r="AM8" s="72"/>
      <c r="AN8" s="125"/>
      <c r="AO8" s="72"/>
      <c r="AP8" s="72"/>
      <c r="AQ8" s="125"/>
      <c r="AR8" s="70" t="s">
        <v>330</v>
      </c>
      <c r="AS8" s="81" t="s">
        <v>331</v>
      </c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</row>
    <row r="9" spans="1:58" ht="13.9" customHeight="1" x14ac:dyDescent="0.35">
      <c r="A9" s="137"/>
      <c r="B9" s="126" t="s">
        <v>324</v>
      </c>
      <c r="C9" s="80" t="s">
        <v>528</v>
      </c>
      <c r="D9" s="80" t="s">
        <v>529</v>
      </c>
      <c r="E9" s="80">
        <v>35</v>
      </c>
      <c r="F9" s="80"/>
      <c r="G9" s="130"/>
      <c r="H9" s="80">
        <v>50</v>
      </c>
      <c r="I9" s="80"/>
      <c r="J9" s="130"/>
      <c r="K9" s="80">
        <v>34</v>
      </c>
      <c r="L9" s="80"/>
      <c r="M9" s="80"/>
      <c r="N9" s="80">
        <v>30</v>
      </c>
      <c r="O9" s="80"/>
      <c r="P9" s="80"/>
      <c r="Q9" s="72">
        <v>30</v>
      </c>
      <c r="R9" s="72"/>
      <c r="S9" s="122"/>
      <c r="T9" s="72">
        <v>40</v>
      </c>
      <c r="U9" s="72"/>
      <c r="V9" s="122"/>
      <c r="W9" s="72"/>
      <c r="X9" s="72"/>
      <c r="Y9" s="122"/>
      <c r="Z9" s="72">
        <v>40</v>
      </c>
      <c r="AA9" s="72"/>
      <c r="AB9" s="122"/>
      <c r="AC9" s="72">
        <v>36</v>
      </c>
      <c r="AD9" s="72"/>
      <c r="AE9" s="122"/>
      <c r="AF9" s="72"/>
      <c r="AG9" s="72"/>
      <c r="AH9" s="122"/>
      <c r="AI9" s="72"/>
      <c r="AJ9" s="72"/>
      <c r="AK9" s="122"/>
      <c r="AL9" s="72"/>
      <c r="AM9" s="72"/>
      <c r="AN9" s="122"/>
      <c r="AO9" s="72"/>
      <c r="AP9" s="72"/>
      <c r="AQ9" s="122"/>
      <c r="AR9" s="70" t="s">
        <v>333</v>
      </c>
      <c r="AS9" s="81" t="s">
        <v>334</v>
      </c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</row>
    <row r="10" spans="1:58" ht="13.9" customHeight="1" x14ac:dyDescent="0.35">
      <c r="A10" s="137"/>
      <c r="B10" s="126"/>
      <c r="C10" s="80" t="s">
        <v>556</v>
      </c>
      <c r="D10" s="80" t="s">
        <v>529</v>
      </c>
      <c r="E10" s="80"/>
      <c r="F10" s="80"/>
      <c r="G10" s="133"/>
      <c r="H10" s="80"/>
      <c r="I10" s="80"/>
      <c r="J10" s="133"/>
      <c r="K10" s="80"/>
      <c r="L10" s="80"/>
      <c r="M10" s="80"/>
      <c r="N10" s="80"/>
      <c r="O10" s="80"/>
      <c r="P10" s="80"/>
      <c r="Q10" s="72"/>
      <c r="R10" s="72"/>
      <c r="S10" s="118"/>
      <c r="T10" s="72"/>
      <c r="U10" s="72"/>
      <c r="V10" s="118"/>
      <c r="W10" s="72"/>
      <c r="X10" s="72"/>
      <c r="Y10" s="118"/>
      <c r="Z10" s="72"/>
      <c r="AA10" s="72"/>
      <c r="AB10" s="118"/>
      <c r="AC10" s="72"/>
      <c r="AD10" s="72"/>
      <c r="AE10" s="118"/>
      <c r="AF10" s="72"/>
      <c r="AG10" s="72"/>
      <c r="AH10" s="118"/>
      <c r="AI10" s="72"/>
      <c r="AJ10" s="72"/>
      <c r="AK10" s="118"/>
      <c r="AL10" s="72"/>
      <c r="AM10" s="72"/>
      <c r="AN10" s="118"/>
      <c r="AO10" s="72"/>
      <c r="AP10" s="72"/>
      <c r="AQ10" s="118"/>
      <c r="AR10" s="70"/>
      <c r="AS10" s="81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</row>
    <row r="11" spans="1:58" ht="13.9" customHeight="1" x14ac:dyDescent="0.35">
      <c r="A11" s="137"/>
      <c r="B11" s="126"/>
      <c r="C11" s="80" t="s">
        <v>335</v>
      </c>
      <c r="D11" s="80" t="s">
        <v>1</v>
      </c>
      <c r="E11" s="80">
        <v>3848</v>
      </c>
      <c r="F11" s="80"/>
      <c r="G11" s="133"/>
      <c r="H11" s="80">
        <v>3800</v>
      </c>
      <c r="I11" s="80"/>
      <c r="J11" s="133"/>
      <c r="K11" s="80">
        <v>4166</v>
      </c>
      <c r="L11" s="80"/>
      <c r="M11" s="80"/>
      <c r="N11" s="80">
        <v>3810</v>
      </c>
      <c r="O11" s="80"/>
      <c r="P11" s="80"/>
      <c r="Q11" s="72">
        <v>3810</v>
      </c>
      <c r="R11" s="72"/>
      <c r="S11" s="118"/>
      <c r="T11" s="72">
        <v>4450</v>
      </c>
      <c r="U11" s="72"/>
      <c r="V11" s="118"/>
      <c r="W11" s="72"/>
      <c r="X11" s="72"/>
      <c r="Y11" s="118"/>
      <c r="Z11" s="72">
        <v>4100</v>
      </c>
      <c r="AA11" s="72"/>
      <c r="AB11" s="118"/>
      <c r="AC11" s="72">
        <v>3940</v>
      </c>
      <c r="AD11" s="72"/>
      <c r="AE11" s="118"/>
      <c r="AF11" s="72"/>
      <c r="AG11" s="72"/>
      <c r="AH11" s="118"/>
      <c r="AI11" s="72"/>
      <c r="AJ11" s="72"/>
      <c r="AK11" s="118"/>
      <c r="AL11" s="72"/>
      <c r="AM11" s="72"/>
      <c r="AN11" s="118"/>
      <c r="AO11" s="72"/>
      <c r="AP11" s="72"/>
      <c r="AQ11" s="118"/>
      <c r="AR11" s="70" t="s">
        <v>336</v>
      </c>
      <c r="AS11" s="81" t="s">
        <v>337</v>
      </c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</row>
    <row r="12" spans="1:58" ht="13.9" customHeight="1" x14ac:dyDescent="0.35">
      <c r="A12" s="137"/>
      <c r="B12" s="126"/>
      <c r="C12" s="80" t="s">
        <v>537</v>
      </c>
      <c r="D12" s="80"/>
      <c r="E12" s="80" t="s">
        <v>580</v>
      </c>
      <c r="F12" s="80"/>
      <c r="G12" s="133"/>
      <c r="H12" s="80" t="s">
        <v>691</v>
      </c>
      <c r="I12" s="80"/>
      <c r="J12" s="133"/>
      <c r="K12" s="80" t="s">
        <v>691</v>
      </c>
      <c r="L12" s="80"/>
      <c r="M12" s="80"/>
      <c r="N12" s="80" t="s">
        <v>691</v>
      </c>
      <c r="O12" s="80"/>
      <c r="P12" s="80"/>
      <c r="Q12" s="72" t="s">
        <v>691</v>
      </c>
      <c r="R12" s="72"/>
      <c r="S12" s="118"/>
      <c r="T12" s="72" t="s">
        <v>579</v>
      </c>
      <c r="U12" s="72"/>
      <c r="V12" s="118"/>
      <c r="W12" s="72" t="s">
        <v>691</v>
      </c>
      <c r="X12" s="72"/>
      <c r="Y12" s="118"/>
      <c r="Z12" s="72" t="s">
        <v>711</v>
      </c>
      <c r="AA12" s="72"/>
      <c r="AB12" s="118"/>
      <c r="AC12" s="72" t="s">
        <v>691</v>
      </c>
      <c r="AD12" s="72"/>
      <c r="AE12" s="118"/>
      <c r="AF12" s="72"/>
      <c r="AG12" s="72"/>
      <c r="AH12" s="118"/>
      <c r="AI12" s="72"/>
      <c r="AJ12" s="72"/>
      <c r="AK12" s="118"/>
      <c r="AL12" s="72"/>
      <c r="AM12" s="72"/>
      <c r="AN12" s="118"/>
      <c r="AO12" s="72"/>
      <c r="AP12" s="72"/>
      <c r="AQ12" s="118"/>
      <c r="AR12" s="70"/>
      <c r="AS12" s="81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</row>
    <row r="13" spans="1:58" ht="13.9" customHeight="1" x14ac:dyDescent="0.35">
      <c r="A13" s="137"/>
      <c r="B13" s="126"/>
      <c r="C13" s="80" t="s">
        <v>530</v>
      </c>
      <c r="D13" s="80"/>
      <c r="E13" s="80">
        <v>4</v>
      </c>
      <c r="F13" s="80"/>
      <c r="G13" s="133"/>
      <c r="H13" s="80">
        <v>3</v>
      </c>
      <c r="I13" s="80"/>
      <c r="J13" s="133"/>
      <c r="K13" s="80">
        <v>4</v>
      </c>
      <c r="L13" s="80"/>
      <c r="M13" s="80"/>
      <c r="N13" s="80">
        <v>4</v>
      </c>
      <c r="O13" s="80"/>
      <c r="P13" s="80"/>
      <c r="Q13" s="72">
        <v>4</v>
      </c>
      <c r="R13" s="72"/>
      <c r="S13" s="118"/>
      <c r="T13" s="72"/>
      <c r="U13" s="72"/>
      <c r="V13" s="118"/>
      <c r="W13" s="72">
        <v>4</v>
      </c>
      <c r="X13" s="72"/>
      <c r="Y13" s="118"/>
      <c r="Z13" s="72">
        <v>4</v>
      </c>
      <c r="AA13" s="72"/>
      <c r="AB13" s="118"/>
      <c r="AC13" s="72">
        <v>4</v>
      </c>
      <c r="AD13" s="72"/>
      <c r="AE13" s="118"/>
      <c r="AF13" s="72"/>
      <c r="AG13" s="72"/>
      <c r="AH13" s="118"/>
      <c r="AI13" s="72"/>
      <c r="AJ13" s="72"/>
      <c r="AK13" s="118"/>
      <c r="AL13" s="72"/>
      <c r="AM13" s="72"/>
      <c r="AN13" s="118"/>
      <c r="AO13" s="72"/>
      <c r="AP13" s="72"/>
      <c r="AQ13" s="118"/>
      <c r="AR13" s="70" t="s">
        <v>339</v>
      </c>
      <c r="AS13" s="81" t="s">
        <v>340</v>
      </c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</row>
    <row r="14" spans="1:58" ht="13.9" customHeight="1" x14ac:dyDescent="0.35">
      <c r="A14" s="137"/>
      <c r="B14" s="126"/>
      <c r="C14" s="80" t="s">
        <v>607</v>
      </c>
      <c r="D14" s="80" t="s">
        <v>142</v>
      </c>
      <c r="E14" s="80">
        <v>6.3</v>
      </c>
      <c r="F14" s="80"/>
      <c r="G14" s="133"/>
      <c r="H14" s="80">
        <v>7</v>
      </c>
      <c r="I14" s="80"/>
      <c r="J14" s="133"/>
      <c r="K14" s="80">
        <v>6.67</v>
      </c>
      <c r="L14" s="80"/>
      <c r="M14" s="80"/>
      <c r="N14" s="80">
        <v>6.43</v>
      </c>
      <c r="O14" s="80"/>
      <c r="P14" s="80"/>
      <c r="Q14" s="72">
        <v>6.43</v>
      </c>
      <c r="R14" s="72"/>
      <c r="S14" s="118"/>
      <c r="T14" s="72">
        <v>7.6</v>
      </c>
      <c r="U14" s="72"/>
      <c r="V14" s="118"/>
      <c r="W14" s="72">
        <v>7.51</v>
      </c>
      <c r="X14" s="72"/>
      <c r="Y14" s="118"/>
      <c r="Z14" s="72"/>
      <c r="AA14" s="72"/>
      <c r="AB14" s="118"/>
      <c r="AC14" s="72">
        <v>6</v>
      </c>
      <c r="AD14" s="72"/>
      <c r="AE14" s="118"/>
      <c r="AF14" s="72"/>
      <c r="AG14" s="72"/>
      <c r="AH14" s="118"/>
      <c r="AI14" s="72"/>
      <c r="AJ14" s="72"/>
      <c r="AK14" s="118"/>
      <c r="AL14" s="72"/>
      <c r="AM14" s="72"/>
      <c r="AN14" s="118"/>
      <c r="AO14" s="72"/>
      <c r="AP14" s="72"/>
      <c r="AQ14" s="118"/>
      <c r="AR14" s="70"/>
      <c r="AS14" s="81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</row>
    <row r="15" spans="1:58" ht="13.9" customHeight="1" x14ac:dyDescent="0.35">
      <c r="A15" s="137"/>
      <c r="B15" s="126"/>
      <c r="C15" s="80" t="s">
        <v>608</v>
      </c>
      <c r="D15" s="80" t="s">
        <v>575</v>
      </c>
      <c r="E15" s="80">
        <v>86</v>
      </c>
      <c r="F15" s="80"/>
      <c r="G15" s="133"/>
      <c r="H15" s="80">
        <v>69</v>
      </c>
      <c r="I15" s="80"/>
      <c r="J15" s="133"/>
      <c r="K15" s="80">
        <v>126</v>
      </c>
      <c r="L15" s="80"/>
      <c r="M15" s="80"/>
      <c r="N15" s="80">
        <v>75</v>
      </c>
      <c r="O15" s="80"/>
      <c r="P15" s="80"/>
      <c r="Q15" s="72">
        <v>75</v>
      </c>
      <c r="R15" s="72"/>
      <c r="S15" s="118"/>
      <c r="T15" s="72">
        <v>31</v>
      </c>
      <c r="U15" s="72"/>
      <c r="V15" s="118"/>
      <c r="W15" s="72">
        <v>53</v>
      </c>
      <c r="X15" s="72"/>
      <c r="Y15" s="118"/>
      <c r="Z15" s="72">
        <v>75</v>
      </c>
      <c r="AA15" s="72"/>
      <c r="AB15" s="118"/>
      <c r="AC15" s="72">
        <v>88</v>
      </c>
      <c r="AD15" s="72"/>
      <c r="AE15" s="118"/>
      <c r="AF15" s="72"/>
      <c r="AG15" s="72"/>
      <c r="AH15" s="118"/>
      <c r="AI15" s="72"/>
      <c r="AJ15" s="72"/>
      <c r="AK15" s="118"/>
      <c r="AL15" s="72"/>
      <c r="AM15" s="72"/>
      <c r="AN15" s="118"/>
      <c r="AO15" s="72"/>
      <c r="AP15" s="72"/>
      <c r="AQ15" s="118"/>
      <c r="AR15" s="70"/>
      <c r="AS15" s="81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</row>
    <row r="16" spans="1:58" ht="13.9" customHeight="1" x14ac:dyDescent="0.35">
      <c r="A16" s="137"/>
      <c r="B16" s="126"/>
      <c r="C16" s="80" t="s">
        <v>531</v>
      </c>
      <c r="D16" s="80" t="s">
        <v>563</v>
      </c>
      <c r="E16" s="80">
        <v>26</v>
      </c>
      <c r="F16" s="80"/>
      <c r="G16" s="133"/>
      <c r="H16" s="80">
        <v>15.6</v>
      </c>
      <c r="I16" s="80"/>
      <c r="J16" s="133"/>
      <c r="K16" s="80">
        <v>19</v>
      </c>
      <c r="L16" s="80"/>
      <c r="M16" s="80"/>
      <c r="N16" s="80">
        <v>25</v>
      </c>
      <c r="O16" s="80"/>
      <c r="P16" s="80"/>
      <c r="Q16" s="72">
        <v>25</v>
      </c>
      <c r="R16" s="72"/>
      <c r="S16" s="118"/>
      <c r="T16" s="72">
        <v>23</v>
      </c>
      <c r="U16" s="72"/>
      <c r="V16" s="118"/>
      <c r="W16" s="72">
        <v>20</v>
      </c>
      <c r="X16" s="72"/>
      <c r="Y16" s="118"/>
      <c r="Z16" s="72">
        <v>24</v>
      </c>
      <c r="AA16" s="72"/>
      <c r="AB16" s="118"/>
      <c r="AC16" s="72">
        <v>25</v>
      </c>
      <c r="AD16" s="72"/>
      <c r="AE16" s="118"/>
      <c r="AF16" s="72"/>
      <c r="AG16" s="72"/>
      <c r="AH16" s="118"/>
      <c r="AI16" s="72"/>
      <c r="AJ16" s="72"/>
      <c r="AK16" s="118"/>
      <c r="AL16" s="72"/>
      <c r="AM16" s="72"/>
      <c r="AN16" s="118"/>
      <c r="AO16" s="72"/>
      <c r="AP16" s="72"/>
      <c r="AQ16" s="118"/>
      <c r="AR16" s="70"/>
      <c r="AS16" s="81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</row>
    <row r="17" spans="1:58" ht="13.9" customHeight="1" x14ac:dyDescent="0.35">
      <c r="A17" s="137"/>
      <c r="B17" s="126"/>
      <c r="C17" s="80" t="s">
        <v>532</v>
      </c>
      <c r="D17" s="80" t="s">
        <v>563</v>
      </c>
      <c r="E17" s="80">
        <v>20.5</v>
      </c>
      <c r="F17" s="80"/>
      <c r="G17" s="131"/>
      <c r="H17" s="80">
        <v>11.7</v>
      </c>
      <c r="I17" s="80"/>
      <c r="J17" s="131"/>
      <c r="K17" s="80">
        <v>19</v>
      </c>
      <c r="L17" s="80"/>
      <c r="M17" s="80"/>
      <c r="N17" s="80">
        <v>21</v>
      </c>
      <c r="O17" s="80"/>
      <c r="P17" s="80"/>
      <c r="Q17" s="72">
        <v>21</v>
      </c>
      <c r="R17" s="72"/>
      <c r="S17" s="125"/>
      <c r="T17" s="72">
        <v>20</v>
      </c>
      <c r="U17" s="72"/>
      <c r="V17" s="125"/>
      <c r="W17" s="72">
        <v>22</v>
      </c>
      <c r="X17" s="72"/>
      <c r="Y17" s="125"/>
      <c r="Z17" s="72">
        <v>20</v>
      </c>
      <c r="AA17" s="72"/>
      <c r="AB17" s="125"/>
      <c r="AC17" s="72">
        <v>22</v>
      </c>
      <c r="AD17" s="72"/>
      <c r="AE17" s="125"/>
      <c r="AF17" s="72"/>
      <c r="AG17" s="72"/>
      <c r="AH17" s="125"/>
      <c r="AI17" s="72"/>
      <c r="AJ17" s="72"/>
      <c r="AK17" s="125"/>
      <c r="AL17" s="72"/>
      <c r="AM17" s="72"/>
      <c r="AN17" s="125"/>
      <c r="AO17" s="72"/>
      <c r="AP17" s="72"/>
      <c r="AQ17" s="125"/>
      <c r="AR17" s="70" t="s">
        <v>342</v>
      </c>
      <c r="AS17" s="81" t="s">
        <v>343</v>
      </c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</row>
    <row r="18" spans="1:58" ht="13.9" customHeight="1" x14ac:dyDescent="0.35">
      <c r="A18" s="137"/>
      <c r="B18" s="130" t="s">
        <v>582</v>
      </c>
      <c r="C18" s="80" t="s">
        <v>522</v>
      </c>
      <c r="D18" s="80" t="s">
        <v>142</v>
      </c>
      <c r="E18" s="80">
        <v>11.3</v>
      </c>
      <c r="F18" s="80"/>
      <c r="G18" s="130"/>
      <c r="H18" s="80">
        <v>10.69</v>
      </c>
      <c r="I18" s="80"/>
      <c r="J18" s="130"/>
      <c r="K18" s="80">
        <v>11.9</v>
      </c>
      <c r="L18" s="80"/>
      <c r="M18" s="80"/>
      <c r="N18" s="80">
        <v>10.6</v>
      </c>
      <c r="O18" s="80"/>
      <c r="P18" s="80"/>
      <c r="Q18" s="72">
        <v>10.8</v>
      </c>
      <c r="R18" s="72"/>
      <c r="S18" s="122"/>
      <c r="T18" s="72">
        <v>11.6</v>
      </c>
      <c r="U18" s="72"/>
      <c r="V18" s="122"/>
      <c r="W18" s="72">
        <v>10.5</v>
      </c>
      <c r="X18" s="72"/>
      <c r="Y18" s="122"/>
      <c r="Z18" s="72">
        <v>9.5</v>
      </c>
      <c r="AA18" s="72"/>
      <c r="AB18" s="122"/>
      <c r="AC18" s="72">
        <v>10.8</v>
      </c>
      <c r="AD18" s="72"/>
      <c r="AE18" s="122"/>
      <c r="AF18" s="72"/>
      <c r="AG18" s="72"/>
      <c r="AH18" s="122"/>
      <c r="AI18" s="72"/>
      <c r="AJ18" s="72"/>
      <c r="AK18" s="122"/>
      <c r="AL18" s="72"/>
      <c r="AM18" s="72"/>
      <c r="AN18" s="122"/>
      <c r="AO18" s="72"/>
      <c r="AP18" s="72"/>
      <c r="AQ18" s="122"/>
      <c r="AR18" s="70" t="s">
        <v>345</v>
      </c>
      <c r="AS18" s="81" t="s">
        <v>346</v>
      </c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</row>
    <row r="19" spans="1:58" ht="13.9" customHeight="1" x14ac:dyDescent="0.35">
      <c r="A19" s="137"/>
      <c r="B19" s="133"/>
      <c r="C19" s="80" t="s">
        <v>523</v>
      </c>
      <c r="D19" s="80" t="s">
        <v>142</v>
      </c>
      <c r="E19" s="80">
        <v>43.6</v>
      </c>
      <c r="F19" s="80"/>
      <c r="G19" s="133"/>
      <c r="H19" s="80">
        <v>34.700000000000003</v>
      </c>
      <c r="I19" s="80"/>
      <c r="J19" s="133"/>
      <c r="K19" s="80">
        <v>38.5</v>
      </c>
      <c r="L19" s="80"/>
      <c r="M19" s="80"/>
      <c r="N19" s="80">
        <v>34.799999999999997</v>
      </c>
      <c r="O19" s="80"/>
      <c r="P19" s="80"/>
      <c r="Q19" s="72">
        <v>43</v>
      </c>
      <c r="R19" s="72"/>
      <c r="S19" s="118"/>
      <c r="T19" s="72">
        <v>35</v>
      </c>
      <c r="U19" s="72"/>
      <c r="V19" s="118"/>
      <c r="W19" s="72">
        <v>42.5</v>
      </c>
      <c r="X19" s="72"/>
      <c r="Y19" s="118"/>
      <c r="Z19" s="72">
        <v>37.1</v>
      </c>
      <c r="AA19" s="72"/>
      <c r="AB19" s="118"/>
      <c r="AC19" s="72">
        <v>35</v>
      </c>
      <c r="AD19" s="72"/>
      <c r="AE19" s="118"/>
      <c r="AF19" s="72"/>
      <c r="AG19" s="84"/>
      <c r="AH19" s="118"/>
      <c r="AI19" s="84"/>
      <c r="AJ19" s="72"/>
      <c r="AK19" s="118"/>
      <c r="AL19" s="72"/>
      <c r="AM19" s="72"/>
      <c r="AN19" s="118"/>
      <c r="AO19" s="72"/>
      <c r="AP19" s="72"/>
      <c r="AQ19" s="118"/>
      <c r="AR19" s="70"/>
      <c r="AS19" s="79" t="s">
        <v>348</v>
      </c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</row>
    <row r="20" spans="1:58" ht="13.9" customHeight="1" x14ac:dyDescent="0.35">
      <c r="A20" s="137"/>
      <c r="B20" s="133"/>
      <c r="C20" s="80" t="s">
        <v>524</v>
      </c>
      <c r="D20" s="80" t="s">
        <v>142</v>
      </c>
      <c r="E20" s="80">
        <v>16</v>
      </c>
      <c r="F20" s="80"/>
      <c r="G20" s="133"/>
      <c r="H20" s="80">
        <v>15.24</v>
      </c>
      <c r="I20" s="80"/>
      <c r="J20" s="133"/>
      <c r="K20" s="80">
        <v>17.100000000000001</v>
      </c>
      <c r="L20" s="80"/>
      <c r="M20" s="80"/>
      <c r="N20" s="80">
        <v>17</v>
      </c>
      <c r="O20" s="80"/>
      <c r="P20" s="80"/>
      <c r="Q20" s="72">
        <v>17</v>
      </c>
      <c r="R20" s="72"/>
      <c r="S20" s="118"/>
      <c r="T20" s="72">
        <v>17.7</v>
      </c>
      <c r="U20" s="72"/>
      <c r="V20" s="118"/>
      <c r="W20" s="72">
        <v>15</v>
      </c>
      <c r="X20" s="72"/>
      <c r="Y20" s="118"/>
      <c r="Z20" s="72">
        <v>16</v>
      </c>
      <c r="AA20" s="72"/>
      <c r="AB20" s="118"/>
      <c r="AC20" s="72"/>
      <c r="AD20" s="72"/>
      <c r="AE20" s="118"/>
      <c r="AF20" s="72"/>
      <c r="AG20" s="72"/>
      <c r="AH20" s="118"/>
      <c r="AI20" s="72"/>
      <c r="AJ20" s="72"/>
      <c r="AK20" s="118"/>
      <c r="AL20" s="72"/>
      <c r="AM20" s="72"/>
      <c r="AN20" s="118"/>
      <c r="AO20" s="72"/>
      <c r="AP20" s="72"/>
      <c r="AQ20" s="118"/>
      <c r="AR20" s="70" t="s">
        <v>350</v>
      </c>
      <c r="AS20" s="81" t="s">
        <v>351</v>
      </c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</row>
    <row r="21" spans="1:58" ht="13.9" customHeight="1" x14ac:dyDescent="0.35">
      <c r="A21" s="137"/>
      <c r="B21" s="133"/>
      <c r="C21" s="80" t="s">
        <v>525</v>
      </c>
      <c r="D21" s="80" t="s">
        <v>142</v>
      </c>
      <c r="E21" s="80" t="s">
        <v>692</v>
      </c>
      <c r="F21" s="80"/>
      <c r="G21" s="133"/>
      <c r="H21" s="106" t="s">
        <v>692</v>
      </c>
      <c r="I21" s="80"/>
      <c r="J21" s="133"/>
      <c r="K21" s="106" t="s">
        <v>692</v>
      </c>
      <c r="L21" s="80"/>
      <c r="M21" s="80"/>
      <c r="N21" s="80" t="s">
        <v>692</v>
      </c>
      <c r="O21" s="80"/>
      <c r="P21" s="80"/>
      <c r="Q21" s="114" t="s">
        <v>692</v>
      </c>
      <c r="R21" s="72"/>
      <c r="S21" s="118"/>
      <c r="T21" s="115" t="s">
        <v>703</v>
      </c>
      <c r="U21" s="72"/>
      <c r="V21" s="118"/>
      <c r="W21" s="114" t="s">
        <v>692</v>
      </c>
      <c r="X21" s="72"/>
      <c r="Y21" s="118"/>
      <c r="Z21" s="72" t="s">
        <v>692</v>
      </c>
      <c r="AA21" s="72"/>
      <c r="AB21" s="118"/>
      <c r="AC21" s="114" t="s">
        <v>692</v>
      </c>
      <c r="AD21" s="72"/>
      <c r="AE21" s="118"/>
      <c r="AF21" s="72"/>
      <c r="AG21" s="72"/>
      <c r="AH21" s="118"/>
      <c r="AI21" s="72"/>
      <c r="AJ21" s="72"/>
      <c r="AK21" s="118"/>
      <c r="AL21" s="72"/>
      <c r="AM21" s="72"/>
      <c r="AN21" s="118"/>
      <c r="AO21" s="72"/>
      <c r="AP21" s="72"/>
      <c r="AQ21" s="118"/>
      <c r="AR21" s="70" t="s">
        <v>333</v>
      </c>
      <c r="AS21" s="81" t="s">
        <v>353</v>
      </c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</row>
    <row r="22" spans="1:58" ht="13.9" customHeight="1" x14ac:dyDescent="0.35">
      <c r="A22" s="137"/>
      <c r="B22" s="133"/>
      <c r="C22" s="80" t="s">
        <v>552</v>
      </c>
      <c r="D22" s="80" t="s">
        <v>563</v>
      </c>
      <c r="E22" s="80" t="s">
        <v>632</v>
      </c>
      <c r="F22" s="80"/>
      <c r="G22" s="133"/>
      <c r="H22" s="105" t="s">
        <v>696</v>
      </c>
      <c r="I22" s="80"/>
      <c r="J22" s="133"/>
      <c r="L22" s="80"/>
      <c r="M22" s="80"/>
      <c r="N22" s="80" t="s">
        <v>632</v>
      </c>
      <c r="O22" s="80"/>
      <c r="P22" s="80"/>
      <c r="Q22" s="72" t="s">
        <v>632</v>
      </c>
      <c r="R22" s="72"/>
      <c r="S22" s="118"/>
      <c r="T22" s="72" t="s">
        <v>705</v>
      </c>
      <c r="U22" s="72"/>
      <c r="V22" s="118"/>
      <c r="W22" s="72" t="s">
        <v>648</v>
      </c>
      <c r="X22" s="72"/>
      <c r="Y22" s="118"/>
      <c r="Z22" s="72" t="s">
        <v>632</v>
      </c>
      <c r="AA22" s="72"/>
      <c r="AB22" s="118"/>
      <c r="AC22" s="72" t="s">
        <v>648</v>
      </c>
      <c r="AD22" s="72"/>
      <c r="AE22" s="118"/>
      <c r="AF22" s="72"/>
      <c r="AG22" s="72"/>
      <c r="AH22" s="118"/>
      <c r="AI22" s="72"/>
      <c r="AJ22" s="72"/>
      <c r="AK22" s="118"/>
      <c r="AL22" s="72"/>
      <c r="AM22" s="72"/>
      <c r="AN22" s="118"/>
      <c r="AO22" s="72"/>
      <c r="AP22" s="72"/>
      <c r="AQ22" s="118"/>
      <c r="AR22" s="70"/>
      <c r="AS22" s="81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</row>
    <row r="23" spans="1:58" ht="13.9" customHeight="1" x14ac:dyDescent="0.35">
      <c r="A23" s="137"/>
      <c r="B23" s="131"/>
      <c r="C23" s="80" t="s">
        <v>553</v>
      </c>
      <c r="D23" s="80" t="s">
        <v>544</v>
      </c>
      <c r="E23" s="80" t="s">
        <v>596</v>
      </c>
      <c r="F23" s="80"/>
      <c r="G23" s="133"/>
      <c r="H23" s="80" t="s">
        <v>596</v>
      </c>
      <c r="I23" s="80"/>
      <c r="J23" s="133"/>
      <c r="K23" s="105" t="s">
        <v>596</v>
      </c>
      <c r="L23" s="80"/>
      <c r="M23" s="80"/>
      <c r="N23" s="80" t="s">
        <v>596</v>
      </c>
      <c r="O23" s="80"/>
      <c r="P23" s="80"/>
      <c r="Q23" s="72" t="s">
        <v>596</v>
      </c>
      <c r="R23" s="72"/>
      <c r="S23" s="118"/>
      <c r="T23" s="72"/>
      <c r="U23" s="72"/>
      <c r="V23" s="118"/>
      <c r="W23" s="72" t="s">
        <v>596</v>
      </c>
      <c r="X23" s="72"/>
      <c r="Y23" s="118"/>
      <c r="Z23" s="72" t="s">
        <v>596</v>
      </c>
      <c r="AA23" s="72"/>
      <c r="AB23" s="118"/>
      <c r="AC23" s="72" t="s">
        <v>596</v>
      </c>
      <c r="AD23" s="72"/>
      <c r="AE23" s="118"/>
      <c r="AF23" s="72"/>
      <c r="AG23" s="72"/>
      <c r="AH23" s="118"/>
      <c r="AI23" s="72"/>
      <c r="AJ23" s="72"/>
      <c r="AK23" s="118"/>
      <c r="AL23" s="72"/>
      <c r="AM23" s="72"/>
      <c r="AN23" s="118"/>
      <c r="AO23" s="72"/>
      <c r="AP23" s="72"/>
      <c r="AQ23" s="118"/>
      <c r="AR23" s="70"/>
      <c r="AS23" s="81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</row>
    <row r="24" spans="1:58" ht="13.9" customHeight="1" x14ac:dyDescent="0.35">
      <c r="A24" s="137"/>
      <c r="B24" s="104"/>
      <c r="C24" s="80" t="s">
        <v>526</v>
      </c>
      <c r="D24" s="80" t="s">
        <v>1</v>
      </c>
      <c r="E24" s="80">
        <v>4158</v>
      </c>
      <c r="F24" s="80"/>
      <c r="G24" s="133"/>
      <c r="H24" s="80">
        <v>4140</v>
      </c>
      <c r="I24" s="80"/>
      <c r="J24" s="133"/>
      <c r="K24" s="80">
        <v>4535</v>
      </c>
      <c r="L24" s="80"/>
      <c r="M24" s="80"/>
      <c r="N24" s="80">
        <v>4229</v>
      </c>
      <c r="O24" s="80"/>
      <c r="P24" s="80"/>
      <c r="Q24" s="72">
        <v>4229</v>
      </c>
      <c r="R24" s="72"/>
      <c r="S24" s="118"/>
      <c r="T24" s="72">
        <v>4200</v>
      </c>
      <c r="U24" s="72"/>
      <c r="V24" s="118"/>
      <c r="W24" s="72" t="s">
        <v>596</v>
      </c>
      <c r="X24" s="72"/>
      <c r="Y24" s="118"/>
      <c r="Z24" s="72"/>
      <c r="AA24" s="72"/>
      <c r="AB24" s="118"/>
      <c r="AC24" s="72">
        <v>4400</v>
      </c>
      <c r="AD24" s="72"/>
      <c r="AE24" s="118"/>
      <c r="AF24" s="72"/>
      <c r="AG24" s="72"/>
      <c r="AH24" s="118"/>
      <c r="AI24" s="72"/>
      <c r="AJ24" s="72"/>
      <c r="AK24" s="118"/>
      <c r="AL24" s="72"/>
      <c r="AM24" s="72"/>
      <c r="AN24" s="118"/>
      <c r="AO24" s="72"/>
      <c r="AP24" s="72"/>
      <c r="AQ24" s="118"/>
      <c r="AR24" s="70" t="s">
        <v>355</v>
      </c>
      <c r="AS24" s="81" t="s">
        <v>356</v>
      </c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</row>
    <row r="25" spans="1:58" ht="13.9" customHeight="1" x14ac:dyDescent="0.35">
      <c r="A25" s="137"/>
      <c r="B25" s="104"/>
      <c r="C25" s="80" t="s">
        <v>598</v>
      </c>
      <c r="D25" s="80" t="s">
        <v>563</v>
      </c>
      <c r="E25" s="80" t="s">
        <v>611</v>
      </c>
      <c r="F25" s="80"/>
      <c r="G25" s="133"/>
      <c r="H25" s="106"/>
      <c r="I25" s="80"/>
      <c r="J25" s="133"/>
      <c r="K25" s="80" t="s">
        <v>611</v>
      </c>
      <c r="L25" s="80"/>
      <c r="M25" s="80"/>
      <c r="N25" s="80" t="s">
        <v>611</v>
      </c>
      <c r="O25" s="80"/>
      <c r="P25" s="80"/>
      <c r="Q25" s="72" t="s">
        <v>611</v>
      </c>
      <c r="R25" s="72"/>
      <c r="S25" s="118"/>
      <c r="T25" s="72"/>
      <c r="U25" s="72"/>
      <c r="V25" s="118"/>
      <c r="W25" s="72" t="s">
        <v>707</v>
      </c>
      <c r="X25" s="72"/>
      <c r="Y25" s="118"/>
      <c r="Z25" s="72"/>
      <c r="AA25" s="72"/>
      <c r="AB25" s="118"/>
      <c r="AC25" s="72"/>
      <c r="AD25" s="72"/>
      <c r="AE25" s="118"/>
      <c r="AF25" s="72"/>
      <c r="AG25" s="72"/>
      <c r="AH25" s="118"/>
      <c r="AI25" s="72"/>
      <c r="AJ25" s="72"/>
      <c r="AK25" s="118"/>
      <c r="AL25" s="72"/>
      <c r="AM25" s="72"/>
      <c r="AN25" s="118"/>
      <c r="AO25" s="72"/>
      <c r="AP25" s="72"/>
      <c r="AQ25" s="118"/>
      <c r="AR25" s="70"/>
      <c r="AS25" s="81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</row>
    <row r="26" spans="1:58" ht="13.9" customHeight="1" x14ac:dyDescent="0.35">
      <c r="A26" s="137"/>
      <c r="B26" s="130" t="s">
        <v>581</v>
      </c>
      <c r="C26" s="80" t="s">
        <v>533</v>
      </c>
      <c r="D26" s="80" t="s">
        <v>1</v>
      </c>
      <c r="E26" s="80">
        <v>220</v>
      </c>
      <c r="F26" s="80"/>
      <c r="G26" s="133"/>
      <c r="H26" s="80"/>
      <c r="I26" s="80"/>
      <c r="J26" s="133"/>
      <c r="K26" s="80">
        <v>182</v>
      </c>
      <c r="L26" s="80"/>
      <c r="M26" s="80"/>
      <c r="N26" s="80">
        <v>268</v>
      </c>
      <c r="O26" s="80"/>
      <c r="P26" s="80"/>
      <c r="Q26" s="72">
        <v>268</v>
      </c>
      <c r="R26" s="72"/>
      <c r="S26" s="118"/>
      <c r="T26" s="72">
        <v>300</v>
      </c>
      <c r="U26" s="72"/>
      <c r="V26" s="118"/>
      <c r="W26" s="72"/>
      <c r="X26" s="72"/>
      <c r="Y26" s="118"/>
      <c r="Z26" s="72"/>
      <c r="AA26" s="72"/>
      <c r="AB26" s="118"/>
      <c r="AC26" s="72"/>
      <c r="AD26" s="72"/>
      <c r="AE26" s="118"/>
      <c r="AF26" s="72"/>
      <c r="AG26" s="72"/>
      <c r="AH26" s="118"/>
      <c r="AI26" s="72"/>
      <c r="AJ26" s="72"/>
      <c r="AK26" s="118"/>
      <c r="AL26" s="72"/>
      <c r="AM26" s="72"/>
      <c r="AN26" s="118"/>
      <c r="AO26" s="72"/>
      <c r="AP26" s="72"/>
      <c r="AQ26" s="118"/>
      <c r="AR26" s="70"/>
      <c r="AS26" s="81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</row>
    <row r="27" spans="1:58" ht="13.9" customHeight="1" x14ac:dyDescent="0.35">
      <c r="A27" s="137"/>
      <c r="B27" s="133"/>
      <c r="C27" s="80" t="s">
        <v>534</v>
      </c>
      <c r="D27" s="80" t="s">
        <v>142</v>
      </c>
      <c r="E27" s="80">
        <v>7.2</v>
      </c>
      <c r="F27" s="80"/>
      <c r="G27" s="133"/>
      <c r="H27" s="80">
        <v>7</v>
      </c>
      <c r="I27" s="80"/>
      <c r="J27" s="133"/>
      <c r="K27" s="80">
        <v>6.81</v>
      </c>
      <c r="L27" s="80"/>
      <c r="M27" s="80"/>
      <c r="N27" s="80">
        <v>6.81</v>
      </c>
      <c r="O27" s="80"/>
      <c r="P27" s="80"/>
      <c r="Q27" s="72">
        <v>6.81</v>
      </c>
      <c r="R27" s="72"/>
      <c r="S27" s="118"/>
      <c r="T27" s="72">
        <v>7.3</v>
      </c>
      <c r="U27" s="72"/>
      <c r="V27" s="118"/>
      <c r="W27" s="72">
        <v>7</v>
      </c>
      <c r="X27" s="72"/>
      <c r="Y27" s="118"/>
      <c r="Z27" s="72">
        <v>7.4</v>
      </c>
      <c r="AA27" s="72"/>
      <c r="AB27" s="118"/>
      <c r="AC27" s="72">
        <v>7.2</v>
      </c>
      <c r="AD27" s="72"/>
      <c r="AE27" s="118"/>
      <c r="AF27" s="72"/>
      <c r="AG27" s="72"/>
      <c r="AH27" s="118"/>
      <c r="AI27" s="72"/>
      <c r="AJ27" s="72"/>
      <c r="AK27" s="118"/>
      <c r="AL27" s="72"/>
      <c r="AM27" s="72"/>
      <c r="AN27" s="118"/>
      <c r="AO27" s="72"/>
      <c r="AP27" s="72"/>
      <c r="AQ27" s="118"/>
      <c r="AR27" s="70"/>
      <c r="AS27" s="81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</row>
    <row r="28" spans="1:58" ht="13.9" customHeight="1" x14ac:dyDescent="0.35">
      <c r="A28" s="137"/>
      <c r="B28" s="133"/>
      <c r="C28" s="80" t="s">
        <v>605</v>
      </c>
      <c r="D28" s="80"/>
      <c r="E28" s="80">
        <v>4</v>
      </c>
      <c r="F28" s="80"/>
      <c r="G28" s="133"/>
      <c r="H28" s="80">
        <v>4</v>
      </c>
      <c r="I28" s="80"/>
      <c r="J28" s="133"/>
      <c r="K28" s="80">
        <v>3</v>
      </c>
      <c r="L28" s="80"/>
      <c r="M28" s="80"/>
      <c r="N28" s="80">
        <v>3</v>
      </c>
      <c r="O28" s="80"/>
      <c r="P28" s="80"/>
      <c r="Q28" s="72">
        <v>3</v>
      </c>
      <c r="R28" s="72"/>
      <c r="S28" s="118"/>
      <c r="T28" s="72">
        <v>3</v>
      </c>
      <c r="U28" s="72"/>
      <c r="V28" s="118"/>
      <c r="W28" s="72">
        <v>3</v>
      </c>
      <c r="X28" s="72"/>
      <c r="Y28" s="118"/>
      <c r="Z28" s="72">
        <v>3</v>
      </c>
      <c r="AA28" s="72"/>
      <c r="AB28" s="118"/>
      <c r="AC28" s="72">
        <v>3</v>
      </c>
      <c r="AD28" s="72"/>
      <c r="AE28" s="118"/>
      <c r="AF28" s="72"/>
      <c r="AG28" s="72"/>
      <c r="AH28" s="118"/>
      <c r="AI28" s="72"/>
      <c r="AJ28" s="72"/>
      <c r="AK28" s="118"/>
      <c r="AL28" s="72"/>
      <c r="AM28" s="72"/>
      <c r="AN28" s="118"/>
      <c r="AO28" s="72"/>
      <c r="AP28" s="72"/>
      <c r="AQ28" s="118"/>
      <c r="AR28" s="70"/>
      <c r="AS28" s="81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</row>
    <row r="29" spans="1:58" s="14" customFormat="1" ht="14.25" customHeight="1" x14ac:dyDescent="0.25">
      <c r="A29" s="137"/>
      <c r="B29" s="131"/>
      <c r="C29" s="80" t="s">
        <v>609</v>
      </c>
      <c r="D29" s="80" t="s">
        <v>544</v>
      </c>
      <c r="E29" s="80" t="s">
        <v>596</v>
      </c>
      <c r="F29" s="80"/>
      <c r="G29" s="131"/>
      <c r="H29" s="80"/>
      <c r="I29" s="80"/>
      <c r="J29" s="131"/>
      <c r="K29" s="80" t="s">
        <v>583</v>
      </c>
      <c r="L29" s="80"/>
      <c r="M29" s="80"/>
      <c r="N29" s="80"/>
      <c r="O29" s="80"/>
      <c r="P29" s="80"/>
      <c r="Q29" s="73"/>
      <c r="R29" s="73"/>
      <c r="S29" s="125"/>
      <c r="T29" s="73"/>
      <c r="U29" s="73"/>
      <c r="V29" s="125"/>
      <c r="W29" s="72" t="s">
        <v>596</v>
      </c>
      <c r="X29" s="72"/>
      <c r="Y29" s="125"/>
      <c r="Z29" s="72"/>
      <c r="AA29" s="72"/>
      <c r="AB29" s="125"/>
      <c r="AC29" s="72"/>
      <c r="AD29" s="72"/>
      <c r="AE29" s="125"/>
      <c r="AF29" s="73"/>
      <c r="AG29" s="73"/>
      <c r="AH29" s="125"/>
      <c r="AI29" s="73"/>
      <c r="AJ29" s="73"/>
      <c r="AK29" s="125"/>
      <c r="AL29" s="73"/>
      <c r="AM29" s="73"/>
      <c r="AN29" s="125"/>
      <c r="AO29" s="72"/>
      <c r="AP29" s="72"/>
      <c r="AQ29" s="125"/>
      <c r="AR29" s="84" t="s">
        <v>358</v>
      </c>
      <c r="AS29" s="85" t="s">
        <v>359</v>
      </c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</row>
    <row r="30" spans="1:58" s="14" customFormat="1" ht="14.25" customHeight="1" x14ac:dyDescent="0.25">
      <c r="A30" s="137"/>
      <c r="B30" s="130" t="s">
        <v>330</v>
      </c>
      <c r="C30" s="80" t="s">
        <v>350</v>
      </c>
      <c r="D30" s="80"/>
      <c r="E30" s="80" t="s">
        <v>591</v>
      </c>
      <c r="F30" s="80"/>
      <c r="G30" s="82"/>
      <c r="H30" s="80" t="s">
        <v>591</v>
      </c>
      <c r="I30" s="80"/>
      <c r="J30" s="82"/>
      <c r="K30" s="80" t="s">
        <v>576</v>
      </c>
      <c r="L30" s="80"/>
      <c r="M30" s="80"/>
      <c r="N30" s="80" t="s">
        <v>576</v>
      </c>
      <c r="O30" s="80"/>
      <c r="P30" s="80"/>
      <c r="Q30" s="80" t="s">
        <v>576</v>
      </c>
      <c r="R30" s="73"/>
      <c r="S30" s="83"/>
      <c r="T30" s="73" t="s">
        <v>704</v>
      </c>
      <c r="U30" s="73"/>
      <c r="V30" s="83"/>
      <c r="W30" s="72" t="s">
        <v>591</v>
      </c>
      <c r="X30" s="72"/>
      <c r="Y30" s="83"/>
      <c r="Z30" s="72" t="s">
        <v>591</v>
      </c>
      <c r="AA30" s="72"/>
      <c r="AB30" s="83"/>
      <c r="AC30" s="72" t="s">
        <v>576</v>
      </c>
      <c r="AD30" s="72"/>
      <c r="AE30" s="83"/>
      <c r="AF30" s="73"/>
      <c r="AG30" s="73"/>
      <c r="AH30" s="83"/>
      <c r="AI30" s="73"/>
      <c r="AJ30" s="73"/>
      <c r="AK30" s="83"/>
      <c r="AL30" s="73"/>
      <c r="AM30" s="73"/>
      <c r="AN30" s="83"/>
      <c r="AO30" s="72"/>
      <c r="AP30" s="72"/>
      <c r="AQ30" s="83"/>
      <c r="AR30" s="84"/>
      <c r="AS30" s="85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</row>
    <row r="31" spans="1:58" ht="14.25" customHeight="1" x14ac:dyDescent="0.35">
      <c r="A31" s="137"/>
      <c r="B31" s="133"/>
      <c r="C31" s="80" t="s">
        <v>536</v>
      </c>
      <c r="D31" s="80" t="s">
        <v>3</v>
      </c>
      <c r="E31" s="80">
        <v>194</v>
      </c>
      <c r="F31" s="80"/>
      <c r="G31" s="130"/>
      <c r="H31" s="80">
        <v>201</v>
      </c>
      <c r="I31" s="80"/>
      <c r="J31" s="130"/>
      <c r="K31" s="80">
        <v>194</v>
      </c>
      <c r="L31" s="80"/>
      <c r="M31" s="80"/>
      <c r="N31" s="80">
        <v>122</v>
      </c>
      <c r="O31" s="80"/>
      <c r="P31" s="80"/>
      <c r="Q31" s="73">
        <v>122</v>
      </c>
      <c r="R31" s="73"/>
      <c r="S31" s="123"/>
      <c r="T31" s="108">
        <v>270</v>
      </c>
      <c r="U31" s="72"/>
      <c r="V31" s="122"/>
      <c r="W31" s="72">
        <v>149</v>
      </c>
      <c r="X31" s="72"/>
      <c r="Y31" s="122"/>
      <c r="Z31" s="72">
        <v>260</v>
      </c>
      <c r="AA31" s="72"/>
      <c r="AB31" s="122"/>
      <c r="AC31" s="72">
        <v>209</v>
      </c>
      <c r="AD31" s="72"/>
      <c r="AE31" s="122"/>
      <c r="AF31" s="72"/>
      <c r="AG31" s="72"/>
      <c r="AH31" s="122"/>
      <c r="AI31" s="72"/>
      <c r="AJ31" s="72"/>
      <c r="AK31" s="122"/>
      <c r="AL31" s="72"/>
      <c r="AM31" s="72"/>
      <c r="AN31" s="122"/>
      <c r="AO31" s="72"/>
      <c r="AP31" s="72"/>
      <c r="AQ31" s="122"/>
      <c r="AR31" s="70" t="s">
        <v>361</v>
      </c>
      <c r="AS31" s="81" t="s">
        <v>362</v>
      </c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</row>
    <row r="32" spans="1:58" ht="14.25" customHeight="1" x14ac:dyDescent="0.35">
      <c r="A32" s="137"/>
      <c r="B32" s="133"/>
      <c r="C32" s="80" t="s">
        <v>535</v>
      </c>
      <c r="D32" s="80" t="s">
        <v>542</v>
      </c>
      <c r="E32" s="80">
        <v>990</v>
      </c>
      <c r="F32" s="80"/>
      <c r="G32" s="133"/>
      <c r="H32" s="80">
        <v>990</v>
      </c>
      <c r="I32" s="80"/>
      <c r="J32" s="133"/>
      <c r="K32" s="80">
        <v>1152</v>
      </c>
      <c r="L32" s="80"/>
      <c r="M32" s="80"/>
      <c r="N32" s="80">
        <v>731</v>
      </c>
      <c r="O32" s="80"/>
      <c r="P32" s="80"/>
      <c r="Q32" s="73">
        <v>731</v>
      </c>
      <c r="R32" s="73"/>
      <c r="S32" s="121"/>
      <c r="T32" s="108">
        <v>990</v>
      </c>
      <c r="U32" s="72"/>
      <c r="V32" s="118"/>
      <c r="W32" s="72">
        <v>990</v>
      </c>
      <c r="X32" s="72"/>
      <c r="Y32" s="118"/>
      <c r="Z32" s="72"/>
      <c r="AA32" s="72"/>
      <c r="AB32" s="118"/>
      <c r="AC32" s="72">
        <v>1288</v>
      </c>
      <c r="AD32" s="72"/>
      <c r="AE32" s="118"/>
      <c r="AF32" s="72"/>
      <c r="AG32" s="72"/>
      <c r="AH32" s="118"/>
      <c r="AI32" s="72"/>
      <c r="AJ32" s="72"/>
      <c r="AK32" s="118"/>
      <c r="AL32" s="72"/>
      <c r="AM32" s="72"/>
      <c r="AN32" s="118"/>
      <c r="AO32" s="72"/>
      <c r="AP32" s="72"/>
      <c r="AQ32" s="118"/>
      <c r="AR32" s="70"/>
      <c r="AS32" s="81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</row>
    <row r="33" spans="1:58" ht="14.25" customHeight="1" x14ac:dyDescent="0.35">
      <c r="A33" s="137"/>
      <c r="B33" s="133"/>
      <c r="C33" s="80" t="s">
        <v>589</v>
      </c>
      <c r="D33" s="80" t="s">
        <v>590</v>
      </c>
      <c r="E33" s="80">
        <v>305</v>
      </c>
      <c r="F33" s="80"/>
      <c r="G33" s="133"/>
      <c r="H33" s="80">
        <v>300</v>
      </c>
      <c r="I33" s="80"/>
      <c r="J33" s="133"/>
      <c r="K33" s="80">
        <v>266</v>
      </c>
      <c r="L33" s="80"/>
      <c r="M33" s="80"/>
      <c r="N33" s="80"/>
      <c r="O33" s="80"/>
      <c r="P33" s="80"/>
      <c r="Q33" s="73"/>
      <c r="R33" s="73"/>
      <c r="S33" s="121"/>
      <c r="T33" s="108">
        <v>284</v>
      </c>
      <c r="U33" s="72"/>
      <c r="V33" s="118"/>
      <c r="W33" s="72">
        <v>300</v>
      </c>
      <c r="X33" s="72"/>
      <c r="Y33" s="118"/>
      <c r="Z33" s="72">
        <v>300</v>
      </c>
      <c r="AA33" s="72"/>
      <c r="AB33" s="118"/>
      <c r="AC33" s="72">
        <v>350</v>
      </c>
      <c r="AD33" s="72"/>
      <c r="AE33" s="118"/>
      <c r="AF33" s="72"/>
      <c r="AG33" s="72"/>
      <c r="AH33" s="118"/>
      <c r="AI33" s="72"/>
      <c r="AJ33" s="72"/>
      <c r="AK33" s="118"/>
      <c r="AL33" s="72"/>
      <c r="AM33" s="72"/>
      <c r="AN33" s="118"/>
      <c r="AO33" s="72"/>
      <c r="AP33" s="72"/>
      <c r="AQ33" s="118"/>
      <c r="AR33" s="70"/>
      <c r="AS33" s="81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</row>
    <row r="34" spans="1:58" ht="14.25" customHeight="1" x14ac:dyDescent="0.35">
      <c r="A34" s="137"/>
      <c r="B34" s="133"/>
      <c r="C34" s="80" t="s">
        <v>588</v>
      </c>
      <c r="D34" s="80"/>
      <c r="E34" s="80" t="s">
        <v>630</v>
      </c>
      <c r="F34" s="80"/>
      <c r="G34" s="133"/>
      <c r="H34" s="80"/>
      <c r="I34" s="80"/>
      <c r="J34" s="133"/>
      <c r="K34" s="80"/>
      <c r="L34" s="80"/>
      <c r="M34" s="80"/>
      <c r="N34" s="80"/>
      <c r="O34" s="80"/>
      <c r="P34" s="80"/>
      <c r="Q34" s="73"/>
      <c r="R34" s="73"/>
      <c r="S34" s="121"/>
      <c r="T34" s="108"/>
      <c r="U34" s="72"/>
      <c r="V34" s="118"/>
      <c r="W34" s="72"/>
      <c r="X34" s="72"/>
      <c r="Y34" s="118"/>
      <c r="Z34" s="72"/>
      <c r="AA34" s="72"/>
      <c r="AB34" s="118"/>
      <c r="AC34" s="72" t="s">
        <v>666</v>
      </c>
      <c r="AD34" s="72"/>
      <c r="AE34" s="118"/>
      <c r="AF34" s="72"/>
      <c r="AG34" s="72"/>
      <c r="AH34" s="118"/>
      <c r="AI34" s="72"/>
      <c r="AJ34" s="72"/>
      <c r="AK34" s="118"/>
      <c r="AL34" s="72"/>
      <c r="AM34" s="72"/>
      <c r="AN34" s="118"/>
      <c r="AO34" s="72"/>
      <c r="AP34" s="72"/>
      <c r="AQ34" s="118"/>
      <c r="AR34" s="70"/>
      <c r="AS34" s="81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</row>
    <row r="35" spans="1:58" ht="14.25" customHeight="1" x14ac:dyDescent="0.35">
      <c r="A35" s="137"/>
      <c r="B35" s="133"/>
      <c r="C35" s="80" t="s">
        <v>540</v>
      </c>
      <c r="D35" s="80"/>
      <c r="E35" s="80">
        <v>6</v>
      </c>
      <c r="F35" s="80"/>
      <c r="G35" s="133"/>
      <c r="H35" s="80">
        <v>6</v>
      </c>
      <c r="I35" s="80"/>
      <c r="J35" s="133"/>
      <c r="K35" s="80">
        <v>6</v>
      </c>
      <c r="L35" s="80"/>
      <c r="M35" s="80"/>
      <c r="N35" s="80">
        <v>6</v>
      </c>
      <c r="O35" s="80"/>
      <c r="P35" s="80"/>
      <c r="Q35" s="73">
        <v>6</v>
      </c>
      <c r="R35" s="73"/>
      <c r="S35" s="121"/>
      <c r="T35" s="108">
        <v>6</v>
      </c>
      <c r="U35" s="72"/>
      <c r="V35" s="118"/>
      <c r="W35" s="72"/>
      <c r="X35" s="72"/>
      <c r="Y35" s="118"/>
      <c r="Z35" s="72">
        <v>6</v>
      </c>
      <c r="AA35" s="72"/>
      <c r="AB35" s="118"/>
      <c r="AC35" s="72">
        <v>6</v>
      </c>
      <c r="AD35" s="72"/>
      <c r="AE35" s="118"/>
      <c r="AF35" s="72"/>
      <c r="AG35" s="72"/>
      <c r="AH35" s="118"/>
      <c r="AI35" s="72"/>
      <c r="AJ35" s="72"/>
      <c r="AK35" s="118"/>
      <c r="AL35" s="72"/>
      <c r="AM35" s="72"/>
      <c r="AN35" s="118"/>
      <c r="AO35" s="72"/>
      <c r="AP35" s="72"/>
      <c r="AQ35" s="118"/>
      <c r="AR35" s="70"/>
      <c r="AS35" s="81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</row>
    <row r="36" spans="1:58" ht="14.25" customHeight="1" x14ac:dyDescent="0.35">
      <c r="A36" s="137"/>
      <c r="B36" s="133"/>
      <c r="C36" s="80" t="s">
        <v>541</v>
      </c>
      <c r="D36" s="80"/>
      <c r="E36" s="80">
        <v>3</v>
      </c>
      <c r="F36" s="80"/>
      <c r="G36" s="133"/>
      <c r="H36" s="80">
        <v>2</v>
      </c>
      <c r="I36" s="80"/>
      <c r="J36" s="133"/>
      <c r="K36" s="80">
        <v>6</v>
      </c>
      <c r="L36" s="80"/>
      <c r="M36" s="80"/>
      <c r="N36" s="80">
        <v>6</v>
      </c>
      <c r="O36" s="80"/>
      <c r="P36" s="80"/>
      <c r="Q36" s="73">
        <v>6</v>
      </c>
      <c r="R36" s="73"/>
      <c r="S36" s="121"/>
      <c r="T36" s="108">
        <v>6</v>
      </c>
      <c r="U36" s="72"/>
      <c r="V36" s="118"/>
      <c r="W36" s="72"/>
      <c r="X36" s="72"/>
      <c r="Y36" s="118"/>
      <c r="Z36" s="72">
        <v>3</v>
      </c>
      <c r="AA36" s="72"/>
      <c r="AB36" s="118"/>
      <c r="AC36" s="72">
        <v>3</v>
      </c>
      <c r="AD36" s="72"/>
      <c r="AE36" s="118"/>
      <c r="AF36" s="72"/>
      <c r="AG36" s="72"/>
      <c r="AH36" s="118"/>
      <c r="AI36" s="72"/>
      <c r="AJ36" s="72"/>
      <c r="AK36" s="118"/>
      <c r="AL36" s="72"/>
      <c r="AM36" s="72"/>
      <c r="AN36" s="118"/>
      <c r="AO36" s="72"/>
      <c r="AP36" s="72"/>
      <c r="AQ36" s="118"/>
      <c r="AR36" s="70"/>
      <c r="AS36" s="81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</row>
    <row r="37" spans="1:58" ht="14.25" customHeight="1" x14ac:dyDescent="0.35">
      <c r="A37" s="137"/>
      <c r="B37" s="133"/>
      <c r="C37" s="80" t="s">
        <v>543</v>
      </c>
      <c r="D37" s="80" t="s">
        <v>544</v>
      </c>
      <c r="E37" s="80" t="s">
        <v>583</v>
      </c>
      <c r="F37" s="80"/>
      <c r="G37" s="133"/>
      <c r="H37" s="80" t="s">
        <v>583</v>
      </c>
      <c r="I37" s="80"/>
      <c r="J37" s="133"/>
      <c r="K37" s="80" t="s">
        <v>583</v>
      </c>
      <c r="L37" s="80"/>
      <c r="M37" s="80"/>
      <c r="N37" s="80" t="s">
        <v>583</v>
      </c>
      <c r="O37" s="80"/>
      <c r="P37" s="80"/>
      <c r="Q37" s="73" t="s">
        <v>583</v>
      </c>
      <c r="R37" s="73"/>
      <c r="S37" s="121"/>
      <c r="T37" s="108" t="s">
        <v>583</v>
      </c>
      <c r="U37" s="72"/>
      <c r="V37" s="118"/>
      <c r="W37" s="72" t="s">
        <v>583</v>
      </c>
      <c r="X37" s="72"/>
      <c r="Y37" s="118"/>
      <c r="Z37" s="72">
        <v>2</v>
      </c>
      <c r="AA37" s="72"/>
      <c r="AB37" s="118"/>
      <c r="AC37" s="72" t="s">
        <v>583</v>
      </c>
      <c r="AD37" s="72"/>
      <c r="AE37" s="118"/>
      <c r="AF37" s="72"/>
      <c r="AG37" s="72"/>
      <c r="AH37" s="118"/>
      <c r="AI37" s="72"/>
      <c r="AJ37" s="72"/>
      <c r="AK37" s="118"/>
      <c r="AL37" s="72"/>
      <c r="AM37" s="72"/>
      <c r="AN37" s="118"/>
      <c r="AO37" s="72"/>
      <c r="AP37" s="72"/>
      <c r="AQ37" s="118"/>
      <c r="AR37" s="70"/>
      <c r="AS37" s="81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</row>
    <row r="38" spans="1:58" ht="14.25" customHeight="1" x14ac:dyDescent="0.35">
      <c r="A38" s="137"/>
      <c r="B38" s="133"/>
      <c r="C38" s="80" t="s">
        <v>593</v>
      </c>
      <c r="D38" s="80"/>
      <c r="E38" s="80">
        <v>2</v>
      </c>
      <c r="F38" s="80"/>
      <c r="G38" s="133"/>
      <c r="H38" s="80">
        <v>2</v>
      </c>
      <c r="I38" s="80"/>
      <c r="J38" s="133"/>
      <c r="K38" s="80">
        <v>2</v>
      </c>
      <c r="L38" s="80"/>
      <c r="M38" s="80"/>
      <c r="N38" s="80">
        <v>2</v>
      </c>
      <c r="O38" s="80"/>
      <c r="P38" s="80"/>
      <c r="Q38" s="73">
        <v>2</v>
      </c>
      <c r="R38" s="73"/>
      <c r="S38" s="121"/>
      <c r="T38" s="108">
        <v>2</v>
      </c>
      <c r="U38" s="72"/>
      <c r="V38" s="118"/>
      <c r="W38" s="72">
        <v>2</v>
      </c>
      <c r="X38" s="72"/>
      <c r="Y38" s="118"/>
      <c r="Z38" s="72">
        <v>2</v>
      </c>
      <c r="AA38" s="72"/>
      <c r="AB38" s="118"/>
      <c r="AC38" s="72">
        <v>2</v>
      </c>
      <c r="AD38" s="72"/>
      <c r="AE38" s="118"/>
      <c r="AF38" s="72"/>
      <c r="AG38" s="72"/>
      <c r="AH38" s="118"/>
      <c r="AI38" s="72"/>
      <c r="AJ38" s="72"/>
      <c r="AK38" s="118"/>
      <c r="AL38" s="72"/>
      <c r="AM38" s="72"/>
      <c r="AN38" s="118"/>
      <c r="AO38" s="72"/>
      <c r="AP38" s="72"/>
      <c r="AQ38" s="118"/>
      <c r="AR38" s="70"/>
      <c r="AS38" s="81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</row>
    <row r="39" spans="1:58" ht="14.25" customHeight="1" x14ac:dyDescent="0.35">
      <c r="A39" s="137"/>
      <c r="B39" s="133"/>
      <c r="C39" s="80" t="s">
        <v>594</v>
      </c>
      <c r="D39" s="80"/>
      <c r="E39" s="80">
        <v>2</v>
      </c>
      <c r="F39" s="80"/>
      <c r="G39" s="133"/>
      <c r="H39" s="80">
        <v>2</v>
      </c>
      <c r="I39" s="80"/>
      <c r="J39" s="133"/>
      <c r="K39" s="80">
        <v>2</v>
      </c>
      <c r="L39" s="80"/>
      <c r="M39" s="80"/>
      <c r="N39" s="80">
        <v>2</v>
      </c>
      <c r="O39" s="80"/>
      <c r="P39" s="80"/>
      <c r="Q39" s="73">
        <v>2</v>
      </c>
      <c r="R39" s="73"/>
      <c r="S39" s="121"/>
      <c r="T39" s="108">
        <v>2</v>
      </c>
      <c r="U39" s="72"/>
      <c r="V39" s="118"/>
      <c r="W39" s="72">
        <v>2</v>
      </c>
      <c r="X39" s="72"/>
      <c r="Y39" s="118"/>
      <c r="Z39" s="72">
        <v>2</v>
      </c>
      <c r="AA39" s="72"/>
      <c r="AB39" s="118"/>
      <c r="AC39" s="72">
        <v>2</v>
      </c>
      <c r="AD39" s="72"/>
      <c r="AE39" s="118"/>
      <c r="AF39" s="72"/>
      <c r="AG39" s="72"/>
      <c r="AH39" s="118"/>
      <c r="AI39" s="72"/>
      <c r="AJ39" s="72"/>
      <c r="AK39" s="118"/>
      <c r="AL39" s="72"/>
      <c r="AM39" s="72"/>
      <c r="AN39" s="118"/>
      <c r="AO39" s="72"/>
      <c r="AP39" s="72"/>
      <c r="AQ39" s="118"/>
      <c r="AR39" s="70"/>
      <c r="AS39" s="81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</row>
    <row r="40" spans="1:58" ht="14.25" customHeight="1" x14ac:dyDescent="0.35">
      <c r="A40" s="137"/>
      <c r="B40" s="133"/>
      <c r="C40" s="80" t="s">
        <v>595</v>
      </c>
      <c r="D40" s="80"/>
      <c r="E40" s="80">
        <v>2</v>
      </c>
      <c r="F40" s="80"/>
      <c r="G40" s="133"/>
      <c r="H40" s="80">
        <v>2</v>
      </c>
      <c r="I40" s="80"/>
      <c r="J40" s="133"/>
      <c r="K40" s="80">
        <v>2</v>
      </c>
      <c r="L40" s="80"/>
      <c r="M40" s="80"/>
      <c r="N40" s="80">
        <v>2</v>
      </c>
      <c r="O40" s="80"/>
      <c r="P40" s="80"/>
      <c r="Q40" s="73">
        <v>2</v>
      </c>
      <c r="R40" s="73"/>
      <c r="S40" s="121"/>
      <c r="T40" s="108">
        <v>2</v>
      </c>
      <c r="U40" s="72"/>
      <c r="V40" s="118"/>
      <c r="W40" s="72">
        <v>2</v>
      </c>
      <c r="X40" s="72"/>
      <c r="Y40" s="118"/>
      <c r="Z40" s="72">
        <v>2</v>
      </c>
      <c r="AA40" s="72"/>
      <c r="AB40" s="118"/>
      <c r="AC40" s="72">
        <v>2</v>
      </c>
      <c r="AD40" s="72"/>
      <c r="AE40" s="118"/>
      <c r="AF40" s="72"/>
      <c r="AG40" s="72"/>
      <c r="AH40" s="118"/>
      <c r="AI40" s="72"/>
      <c r="AJ40" s="72"/>
      <c r="AK40" s="118"/>
      <c r="AL40" s="72"/>
      <c r="AM40" s="72"/>
      <c r="AN40" s="118"/>
      <c r="AO40" s="72"/>
      <c r="AP40" s="72"/>
      <c r="AQ40" s="118"/>
      <c r="AR40" s="70"/>
      <c r="AS40" s="81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</row>
    <row r="41" spans="1:58" x14ac:dyDescent="0.35">
      <c r="A41" s="137"/>
      <c r="B41" s="131"/>
      <c r="C41" s="80" t="s">
        <v>545</v>
      </c>
      <c r="D41" s="80" t="s">
        <v>544</v>
      </c>
      <c r="E41" s="72" t="s">
        <v>583</v>
      </c>
      <c r="F41" s="72"/>
      <c r="G41" s="131"/>
      <c r="H41" s="72" t="s">
        <v>583</v>
      </c>
      <c r="I41" s="72"/>
      <c r="J41" s="131"/>
      <c r="K41" s="72" t="s">
        <v>583</v>
      </c>
      <c r="L41" s="80"/>
      <c r="M41" s="80"/>
      <c r="N41" s="80"/>
      <c r="O41" s="80"/>
      <c r="P41" s="80"/>
      <c r="Q41" s="72"/>
      <c r="R41" s="72"/>
      <c r="S41" s="132"/>
      <c r="T41" s="108"/>
      <c r="U41" s="72"/>
      <c r="V41" s="125"/>
      <c r="W41" s="72" t="s">
        <v>708</v>
      </c>
      <c r="X41" s="72"/>
      <c r="Y41" s="125"/>
      <c r="Z41" s="72" t="s">
        <v>710</v>
      </c>
      <c r="AA41" s="72"/>
      <c r="AB41" s="125"/>
      <c r="AC41" s="72"/>
      <c r="AD41" s="72"/>
      <c r="AE41" s="125"/>
      <c r="AF41" s="72"/>
      <c r="AG41" s="72"/>
      <c r="AH41" s="125"/>
      <c r="AI41" s="72"/>
      <c r="AJ41" s="72"/>
      <c r="AK41" s="125"/>
      <c r="AL41" s="72"/>
      <c r="AM41" s="72"/>
      <c r="AN41" s="125"/>
      <c r="AO41" s="72"/>
      <c r="AP41" s="72"/>
      <c r="AQ41" s="125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</row>
    <row r="42" spans="1:58" ht="13.9" customHeight="1" x14ac:dyDescent="0.35">
      <c r="A42" s="137"/>
      <c r="B42" s="126" t="s">
        <v>610</v>
      </c>
      <c r="C42" s="80" t="s">
        <v>538</v>
      </c>
      <c r="D42" s="80" t="s">
        <v>19</v>
      </c>
      <c r="E42" s="80">
        <v>51</v>
      </c>
      <c r="F42" s="80"/>
      <c r="G42" s="80"/>
      <c r="H42" s="80">
        <v>73.400000000000006</v>
      </c>
      <c r="I42" s="80"/>
      <c r="J42" s="80"/>
      <c r="K42" s="80">
        <v>76.3</v>
      </c>
      <c r="L42" s="80"/>
      <c r="M42" s="80"/>
      <c r="N42" s="80">
        <v>54.4</v>
      </c>
      <c r="O42" s="80"/>
      <c r="P42" s="80"/>
      <c r="Q42" s="72">
        <v>54.4</v>
      </c>
      <c r="R42" s="72"/>
      <c r="S42" s="72"/>
      <c r="T42" s="109">
        <v>71.2</v>
      </c>
      <c r="U42" s="72"/>
      <c r="V42" s="72"/>
      <c r="W42" s="72">
        <v>50</v>
      </c>
      <c r="X42" s="72"/>
      <c r="Y42" s="72"/>
      <c r="Z42" s="72">
        <v>51</v>
      </c>
      <c r="AA42" s="72"/>
      <c r="AB42" s="72"/>
      <c r="AC42" s="72">
        <v>69</v>
      </c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</row>
    <row r="43" spans="1:58" ht="13.9" customHeight="1" x14ac:dyDescent="0.35">
      <c r="A43" s="137"/>
      <c r="B43" s="126"/>
      <c r="C43" s="80" t="s">
        <v>539</v>
      </c>
      <c r="D43" s="80" t="s">
        <v>19</v>
      </c>
      <c r="E43" s="80">
        <v>51</v>
      </c>
      <c r="F43" s="80"/>
      <c r="G43" s="80"/>
      <c r="H43" s="80">
        <v>73.400000000000006</v>
      </c>
      <c r="I43" s="80"/>
      <c r="J43" s="80"/>
      <c r="K43" s="80">
        <v>76.3</v>
      </c>
      <c r="L43" s="80"/>
      <c r="M43" s="80"/>
      <c r="N43" s="80">
        <v>54.4</v>
      </c>
      <c r="O43" s="80"/>
      <c r="P43" s="80"/>
      <c r="Q43" s="72">
        <v>54.4</v>
      </c>
      <c r="R43" s="72"/>
      <c r="S43" s="72"/>
      <c r="T43" s="109">
        <v>71.2</v>
      </c>
      <c r="U43" s="72"/>
      <c r="V43" s="72"/>
      <c r="W43" s="72">
        <v>50</v>
      </c>
      <c r="X43" s="72"/>
      <c r="Y43" s="72"/>
      <c r="Z43" s="72">
        <v>51</v>
      </c>
      <c r="AA43" s="72"/>
      <c r="AB43" s="72"/>
      <c r="AC43" s="72">
        <v>69</v>
      </c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</row>
    <row r="44" spans="1:58" ht="13.9" customHeight="1" x14ac:dyDescent="0.35">
      <c r="A44" s="137"/>
      <c r="B44" s="126"/>
      <c r="C44" s="80" t="s">
        <v>569</v>
      </c>
      <c r="D44" s="80" t="s">
        <v>627</v>
      </c>
      <c r="E44" s="80">
        <v>150</v>
      </c>
      <c r="F44" s="80"/>
      <c r="G44" s="80"/>
      <c r="H44" s="80"/>
      <c r="I44" s="80"/>
      <c r="J44" s="80"/>
      <c r="K44" s="80">
        <v>165</v>
      </c>
      <c r="L44" s="80"/>
      <c r="M44" s="80"/>
      <c r="N44" s="80">
        <v>148</v>
      </c>
      <c r="O44" s="80"/>
      <c r="P44" s="80"/>
      <c r="Q44" s="72">
        <v>148</v>
      </c>
      <c r="R44" s="72"/>
      <c r="S44" s="72"/>
      <c r="T44" s="109">
        <v>140</v>
      </c>
      <c r="U44" s="72"/>
      <c r="V44" s="72"/>
      <c r="W44" s="72">
        <v>97</v>
      </c>
      <c r="X44" s="72"/>
      <c r="Y44" s="72"/>
      <c r="Z44" s="72">
        <v>150</v>
      </c>
      <c r="AA44" s="72"/>
      <c r="AB44" s="72"/>
      <c r="AC44" s="72">
        <v>150</v>
      </c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</row>
    <row r="45" spans="1:58" ht="15.75" customHeight="1" thickBot="1" x14ac:dyDescent="0.4">
      <c r="A45" s="137"/>
      <c r="B45" s="126"/>
      <c r="C45" s="80" t="s">
        <v>570</v>
      </c>
      <c r="D45" s="80" t="s">
        <v>627</v>
      </c>
      <c r="E45" s="80">
        <v>130</v>
      </c>
      <c r="F45" s="80"/>
      <c r="G45" s="80"/>
      <c r="H45" s="80"/>
      <c r="I45" s="80"/>
      <c r="J45" s="80"/>
      <c r="K45" s="80">
        <v>165</v>
      </c>
      <c r="L45" s="80"/>
      <c r="M45" s="80"/>
      <c r="N45" s="80">
        <v>148</v>
      </c>
      <c r="O45" s="80"/>
      <c r="P45" s="80"/>
      <c r="Q45" s="72">
        <v>148</v>
      </c>
      <c r="R45" s="72"/>
      <c r="S45" s="72"/>
      <c r="T45" s="109">
        <v>140</v>
      </c>
      <c r="U45" s="72"/>
      <c r="V45" s="72"/>
      <c r="W45" s="72">
        <v>97</v>
      </c>
      <c r="X45" s="72"/>
      <c r="Y45" s="72"/>
      <c r="Z45" s="72">
        <v>150</v>
      </c>
      <c r="AA45" s="72"/>
      <c r="AB45" s="72"/>
      <c r="AC45" s="72">
        <v>150</v>
      </c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</row>
    <row r="46" spans="1:58" ht="28.5" customHeight="1" x14ac:dyDescent="0.35">
      <c r="A46" s="137"/>
      <c r="B46" s="126" t="s">
        <v>546</v>
      </c>
      <c r="C46" s="80" t="s">
        <v>547</v>
      </c>
      <c r="D46" s="80" t="s">
        <v>0</v>
      </c>
      <c r="E46" s="72">
        <v>55000</v>
      </c>
      <c r="F46" s="72"/>
      <c r="G46" s="122"/>
      <c r="H46" s="72">
        <v>49895</v>
      </c>
      <c r="I46" s="72"/>
      <c r="J46" s="122"/>
      <c r="K46" s="72">
        <v>58967</v>
      </c>
      <c r="L46" s="72"/>
      <c r="M46" s="72"/>
      <c r="N46" s="72">
        <v>51000</v>
      </c>
      <c r="O46" s="72"/>
      <c r="P46" s="72"/>
      <c r="Q46" s="72">
        <v>51000</v>
      </c>
      <c r="R46" s="72"/>
      <c r="S46" s="122"/>
      <c r="T46" s="109">
        <v>60000</v>
      </c>
      <c r="U46" s="72"/>
      <c r="V46" s="122"/>
      <c r="W46" s="72">
        <v>60000</v>
      </c>
      <c r="X46" s="72"/>
      <c r="Y46" s="122"/>
      <c r="Z46" s="72">
        <v>60000</v>
      </c>
      <c r="AA46" s="72"/>
      <c r="AB46" s="122"/>
      <c r="AC46" s="72">
        <v>49895</v>
      </c>
      <c r="AD46" s="72"/>
      <c r="AE46" s="122"/>
      <c r="AF46" s="73"/>
      <c r="AG46" s="73"/>
      <c r="AH46" s="123"/>
      <c r="AI46" s="73"/>
      <c r="AJ46" s="73"/>
      <c r="AK46" s="123"/>
      <c r="AL46" s="73"/>
      <c r="AM46" s="73"/>
      <c r="AN46" s="123"/>
      <c r="AO46" s="72"/>
      <c r="AP46" s="72"/>
      <c r="AQ46" s="122"/>
      <c r="AR46" s="70"/>
      <c r="AS46" s="86"/>
      <c r="AT46" s="87" t="s">
        <v>4</v>
      </c>
      <c r="AU46" s="87" t="s">
        <v>5</v>
      </c>
      <c r="AV46" s="87" t="s">
        <v>6</v>
      </c>
      <c r="AW46" s="87" t="s">
        <v>7</v>
      </c>
      <c r="AX46" s="87" t="s">
        <v>8</v>
      </c>
      <c r="AY46" s="87" t="s">
        <v>9</v>
      </c>
      <c r="AZ46" s="87" t="s">
        <v>10</v>
      </c>
      <c r="BA46" s="87" t="s">
        <v>11</v>
      </c>
      <c r="BB46" s="87" t="s">
        <v>12</v>
      </c>
      <c r="BC46" s="87" t="s">
        <v>13</v>
      </c>
      <c r="BD46" s="88" t="s">
        <v>14</v>
      </c>
      <c r="BE46" s="70"/>
      <c r="BF46" s="70"/>
    </row>
    <row r="47" spans="1:58" ht="13.9" customHeight="1" x14ac:dyDescent="0.35">
      <c r="A47" s="137"/>
      <c r="B47" s="126"/>
      <c r="C47" s="80" t="s">
        <v>634</v>
      </c>
      <c r="D47" s="80" t="s">
        <v>0</v>
      </c>
      <c r="E47" s="80">
        <v>41500</v>
      </c>
      <c r="F47" s="80"/>
      <c r="G47" s="118"/>
      <c r="H47" s="80">
        <v>33294</v>
      </c>
      <c r="I47" s="80"/>
      <c r="J47" s="118"/>
      <c r="K47" s="72">
        <v>46266</v>
      </c>
      <c r="L47" s="72"/>
      <c r="M47" s="72"/>
      <c r="N47" s="72">
        <v>29712</v>
      </c>
      <c r="O47" s="72"/>
      <c r="P47" s="72"/>
      <c r="Q47" s="72">
        <v>29325</v>
      </c>
      <c r="R47" s="72"/>
      <c r="S47" s="118"/>
      <c r="T47" s="109">
        <v>37800</v>
      </c>
      <c r="U47" s="72"/>
      <c r="V47" s="118"/>
      <c r="W47" s="72">
        <v>33500</v>
      </c>
      <c r="X47" s="72"/>
      <c r="Y47" s="118"/>
      <c r="Z47" s="72">
        <v>47000</v>
      </c>
      <c r="AA47" s="72"/>
      <c r="AB47" s="118"/>
      <c r="AC47" s="72">
        <v>35516</v>
      </c>
      <c r="AD47" s="72"/>
      <c r="AE47" s="118"/>
      <c r="AF47" s="72"/>
      <c r="AG47" s="72"/>
      <c r="AH47" s="121"/>
      <c r="AI47" s="72"/>
      <c r="AJ47" s="72"/>
      <c r="AK47" s="121"/>
      <c r="AL47" s="72"/>
      <c r="AM47" s="72"/>
      <c r="AN47" s="121"/>
      <c r="AO47" s="72"/>
      <c r="AP47" s="72"/>
      <c r="AQ47" s="118"/>
      <c r="AR47" s="70"/>
      <c r="AS47" s="89" t="s">
        <v>320</v>
      </c>
      <c r="AT47" s="90">
        <v>2</v>
      </c>
      <c r="AU47" s="90">
        <v>3</v>
      </c>
      <c r="AV47" s="90">
        <v>2.5</v>
      </c>
      <c r="AW47" s="90">
        <v>3</v>
      </c>
      <c r="AX47" s="90">
        <v>2</v>
      </c>
      <c r="AY47" s="90">
        <v>3.5</v>
      </c>
      <c r="AZ47" s="90">
        <v>3</v>
      </c>
      <c r="BA47" s="90">
        <v>3.5</v>
      </c>
      <c r="BB47" s="90">
        <v>2.5</v>
      </c>
      <c r="BC47" s="90">
        <v>2.5</v>
      </c>
      <c r="BD47" s="91">
        <v>2.5</v>
      </c>
      <c r="BE47" s="70"/>
      <c r="BF47" s="70"/>
    </row>
    <row r="48" spans="1:58" ht="13.9" customHeight="1" x14ac:dyDescent="0.35">
      <c r="A48" s="137"/>
      <c r="B48" s="126"/>
      <c r="C48" s="80" t="s">
        <v>693</v>
      </c>
      <c r="D48" s="80" t="s">
        <v>0</v>
      </c>
      <c r="E48" s="80">
        <v>8450</v>
      </c>
      <c r="F48" s="80"/>
      <c r="G48" s="118"/>
      <c r="H48" s="80">
        <v>6577</v>
      </c>
      <c r="I48" s="80"/>
      <c r="J48" s="118"/>
      <c r="K48" s="72">
        <v>8528</v>
      </c>
      <c r="L48" s="72"/>
      <c r="M48" s="72"/>
      <c r="N48" s="72">
        <v>7230</v>
      </c>
      <c r="O48" s="72"/>
      <c r="P48" s="72"/>
      <c r="Q48" s="72">
        <v>9500</v>
      </c>
      <c r="R48" s="72"/>
      <c r="S48" s="118"/>
      <c r="T48" s="109">
        <v>3778</v>
      </c>
      <c r="U48" s="72"/>
      <c r="V48" s="118"/>
      <c r="W48" s="72">
        <v>6550</v>
      </c>
      <c r="X48" s="72"/>
      <c r="Y48" s="118"/>
      <c r="Z48" s="72">
        <v>9200</v>
      </c>
      <c r="AA48" s="72"/>
      <c r="AB48" s="118"/>
      <c r="AC48" s="72">
        <v>7076</v>
      </c>
      <c r="AD48" s="72"/>
      <c r="AE48" s="118"/>
      <c r="AF48" s="72"/>
      <c r="AG48" s="72"/>
      <c r="AH48" s="121"/>
      <c r="AI48" s="72"/>
      <c r="AJ48" s="72"/>
      <c r="AK48" s="121"/>
      <c r="AL48" s="72"/>
      <c r="AM48" s="72"/>
      <c r="AN48" s="121"/>
      <c r="AO48" s="72"/>
      <c r="AP48" s="72"/>
      <c r="AQ48" s="118"/>
      <c r="AR48" s="70"/>
      <c r="AS48" s="89" t="s">
        <v>324</v>
      </c>
      <c r="AT48" s="90">
        <v>3</v>
      </c>
      <c r="AU48" s="90">
        <v>3</v>
      </c>
      <c r="AV48" s="90">
        <v>3</v>
      </c>
      <c r="AW48" s="90">
        <v>3</v>
      </c>
      <c r="AX48" s="90">
        <v>3</v>
      </c>
      <c r="AY48" s="90">
        <v>3</v>
      </c>
      <c r="AZ48" s="90">
        <v>3</v>
      </c>
      <c r="BA48" s="90">
        <v>3</v>
      </c>
      <c r="BB48" s="90">
        <v>3</v>
      </c>
      <c r="BC48" s="90">
        <v>3</v>
      </c>
      <c r="BD48" s="91">
        <v>3</v>
      </c>
      <c r="BE48" s="70"/>
      <c r="BF48" s="70"/>
    </row>
    <row r="49" spans="1:58" ht="13.9" customHeight="1" x14ac:dyDescent="0.35">
      <c r="A49" s="137"/>
      <c r="B49" s="126"/>
      <c r="C49" s="80" t="s">
        <v>636</v>
      </c>
      <c r="D49" s="80" t="s">
        <v>0</v>
      </c>
      <c r="E49" s="80">
        <v>1700</v>
      </c>
      <c r="F49" s="80"/>
      <c r="G49" s="118"/>
      <c r="H49" s="80">
        <v>1474</v>
      </c>
      <c r="I49" s="80"/>
      <c r="J49" s="118"/>
      <c r="K49" s="72">
        <v>1610</v>
      </c>
      <c r="L49" s="72"/>
      <c r="M49" s="72"/>
      <c r="N49" s="72">
        <v>1625</v>
      </c>
      <c r="O49" s="72"/>
      <c r="P49" s="72"/>
      <c r="Q49" s="72">
        <v>1700</v>
      </c>
      <c r="R49" s="72"/>
      <c r="S49" s="118"/>
      <c r="T49" s="109">
        <v>1650</v>
      </c>
      <c r="U49" s="72"/>
      <c r="V49" s="118"/>
      <c r="W49" s="72">
        <v>1050</v>
      </c>
      <c r="X49" s="72"/>
      <c r="Y49" s="118"/>
      <c r="Z49" s="72">
        <v>2400</v>
      </c>
      <c r="AA49" s="72"/>
      <c r="AB49" s="118"/>
      <c r="AC49" s="72">
        <v>1542</v>
      </c>
      <c r="AD49" s="72"/>
      <c r="AE49" s="118"/>
      <c r="AF49" s="72"/>
      <c r="AG49" s="72"/>
      <c r="AH49" s="121"/>
      <c r="AI49" s="72"/>
      <c r="AJ49" s="72"/>
      <c r="AK49" s="121"/>
      <c r="AL49" s="72"/>
      <c r="AM49" s="72"/>
      <c r="AN49" s="121"/>
      <c r="AO49" s="72"/>
      <c r="AP49" s="72"/>
      <c r="AQ49" s="118"/>
      <c r="AR49" s="70"/>
      <c r="AS49" s="89" t="s">
        <v>374</v>
      </c>
      <c r="AT49" s="90">
        <v>3.3</v>
      </c>
      <c r="AU49" s="90">
        <v>3</v>
      </c>
      <c r="AV49" s="90">
        <v>2.2999999999999998</v>
      </c>
      <c r="AW49" s="90">
        <v>3.3</v>
      </c>
      <c r="AX49" s="90">
        <v>5</v>
      </c>
      <c r="AY49" s="90">
        <v>2.2999999999999998</v>
      </c>
      <c r="AZ49" s="90">
        <v>2.2999999999999998</v>
      </c>
      <c r="BA49" s="90">
        <v>2.2000000000000002</v>
      </c>
      <c r="BB49" s="90">
        <v>3</v>
      </c>
      <c r="BC49" s="90">
        <v>3</v>
      </c>
      <c r="BD49" s="91">
        <v>3.8</v>
      </c>
      <c r="BE49" s="70"/>
      <c r="BF49" s="70"/>
    </row>
    <row r="50" spans="1:58" ht="13.9" customHeight="1" x14ac:dyDescent="0.35">
      <c r="A50" s="137"/>
      <c r="B50" s="126"/>
      <c r="C50" s="80" t="s">
        <v>567</v>
      </c>
      <c r="D50" s="80" t="s">
        <v>142</v>
      </c>
      <c r="E50" s="80">
        <v>34</v>
      </c>
      <c r="F50" s="80"/>
      <c r="G50" s="118"/>
      <c r="H50" s="80">
        <v>32</v>
      </c>
      <c r="I50" s="80"/>
      <c r="J50" s="118"/>
      <c r="K50" s="72">
        <v>35</v>
      </c>
      <c r="L50" s="72"/>
      <c r="M50" s="72"/>
      <c r="N50" s="72">
        <v>32</v>
      </c>
      <c r="O50" s="72"/>
      <c r="P50" s="72"/>
      <c r="Q50" s="72">
        <v>36</v>
      </c>
      <c r="R50" s="72"/>
      <c r="S50" s="118"/>
      <c r="T50" s="72">
        <v>32</v>
      </c>
      <c r="U50" s="72"/>
      <c r="V50" s="118"/>
      <c r="W50" s="72">
        <v>34</v>
      </c>
      <c r="X50" s="72"/>
      <c r="Y50" s="118"/>
      <c r="Z50" s="72">
        <v>36</v>
      </c>
      <c r="AA50" s="72"/>
      <c r="AB50" s="118"/>
      <c r="AC50" s="72">
        <v>32</v>
      </c>
      <c r="AD50" s="72"/>
      <c r="AE50" s="118"/>
      <c r="AF50" s="72"/>
      <c r="AG50" s="72"/>
      <c r="AH50" s="121"/>
      <c r="AI50" s="72"/>
      <c r="AJ50" s="72"/>
      <c r="AK50" s="121"/>
      <c r="AL50" s="72"/>
      <c r="AM50" s="72"/>
      <c r="AN50" s="121"/>
      <c r="AO50" s="72"/>
      <c r="AP50" s="72"/>
      <c r="AQ50" s="118"/>
      <c r="AR50" s="70"/>
      <c r="AS50" s="89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1"/>
      <c r="BE50" s="70"/>
      <c r="BF50" s="70"/>
    </row>
    <row r="51" spans="1:58" ht="13.9" customHeight="1" x14ac:dyDescent="0.35">
      <c r="A51" s="137"/>
      <c r="B51" s="126"/>
      <c r="C51" s="80" t="s">
        <v>602</v>
      </c>
      <c r="D51" s="80" t="s">
        <v>0</v>
      </c>
      <c r="E51" s="80">
        <v>1100</v>
      </c>
      <c r="F51" s="80"/>
      <c r="G51" s="118"/>
      <c r="H51" s="80">
        <v>1065</v>
      </c>
      <c r="I51" s="80"/>
      <c r="J51" s="118"/>
      <c r="K51" s="72">
        <v>495</v>
      </c>
      <c r="L51" s="72"/>
      <c r="M51" s="72"/>
      <c r="N51" s="72">
        <v>1310</v>
      </c>
      <c r="O51" s="72"/>
      <c r="P51" s="72"/>
      <c r="Q51" s="72">
        <v>875</v>
      </c>
      <c r="R51" s="72"/>
      <c r="S51" s="118"/>
      <c r="T51" s="72">
        <v>1350</v>
      </c>
      <c r="U51" s="72"/>
      <c r="V51" s="118"/>
      <c r="W51" s="72">
        <v>500</v>
      </c>
      <c r="X51" s="72"/>
      <c r="Y51" s="118"/>
      <c r="Z51" s="72">
        <v>750</v>
      </c>
      <c r="AA51" s="72"/>
      <c r="AB51" s="118"/>
      <c r="AC51" s="72">
        <v>1134</v>
      </c>
      <c r="AD51" s="72"/>
      <c r="AE51" s="118"/>
      <c r="AF51" s="72"/>
      <c r="AG51" s="72"/>
      <c r="AH51" s="121"/>
      <c r="AI51" s="72"/>
      <c r="AJ51" s="72"/>
      <c r="AK51" s="121"/>
      <c r="AL51" s="72"/>
      <c r="AM51" s="72"/>
      <c r="AN51" s="121"/>
      <c r="AO51" s="72"/>
      <c r="AP51" s="72"/>
      <c r="AQ51" s="118"/>
      <c r="AR51" s="70"/>
      <c r="AS51" s="89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1"/>
      <c r="BE51" s="70"/>
      <c r="BF51" s="70"/>
    </row>
    <row r="52" spans="1:58" ht="13.9" customHeight="1" x14ac:dyDescent="0.35">
      <c r="A52" s="137"/>
      <c r="B52" s="126"/>
      <c r="C52" s="80" t="s">
        <v>638</v>
      </c>
      <c r="D52" s="80" t="s">
        <v>0</v>
      </c>
      <c r="E52" s="80">
        <v>3200</v>
      </c>
      <c r="F52" s="80"/>
      <c r="G52" s="118"/>
      <c r="H52" s="80">
        <v>3855</v>
      </c>
      <c r="I52" s="80"/>
      <c r="J52" s="118"/>
      <c r="K52" s="72">
        <v>5126</v>
      </c>
      <c r="L52" s="72"/>
      <c r="M52" s="72"/>
      <c r="N52" s="72">
        <v>3720</v>
      </c>
      <c r="O52" s="72"/>
      <c r="P52" s="72"/>
      <c r="Q52" s="72">
        <v>3050</v>
      </c>
      <c r="R52" s="72"/>
      <c r="S52" s="118"/>
      <c r="T52" s="72">
        <v>4850</v>
      </c>
      <c r="U52" s="72"/>
      <c r="V52" s="118"/>
      <c r="W52" s="72">
        <v>2850</v>
      </c>
      <c r="X52" s="72"/>
      <c r="Y52" s="118"/>
      <c r="Z52" s="72"/>
      <c r="AA52" s="72"/>
      <c r="AB52" s="118"/>
      <c r="AC52" s="72">
        <v>7400</v>
      </c>
      <c r="AD52" s="72"/>
      <c r="AE52" s="118"/>
      <c r="AF52" s="72"/>
      <c r="AG52" s="72"/>
      <c r="AH52" s="121"/>
      <c r="AI52" s="72"/>
      <c r="AJ52" s="72"/>
      <c r="AK52" s="121"/>
      <c r="AL52" s="72"/>
      <c r="AM52" s="72"/>
      <c r="AN52" s="121"/>
      <c r="AO52" s="72"/>
      <c r="AP52" s="72"/>
      <c r="AQ52" s="118"/>
      <c r="AR52" s="70"/>
      <c r="AS52" s="89" t="s">
        <v>330</v>
      </c>
      <c r="AT52" s="90">
        <v>5</v>
      </c>
      <c r="AU52" s="90">
        <v>5</v>
      </c>
      <c r="AV52" s="90">
        <v>5</v>
      </c>
      <c r="AW52" s="90">
        <v>3</v>
      </c>
      <c r="AX52" s="90">
        <v>1</v>
      </c>
      <c r="AY52" s="90">
        <v>1</v>
      </c>
      <c r="AZ52" s="90">
        <v>1</v>
      </c>
      <c r="BA52" s="90">
        <v>1</v>
      </c>
      <c r="BB52" s="90">
        <v>1</v>
      </c>
      <c r="BC52" s="90">
        <v>1</v>
      </c>
      <c r="BD52" s="91">
        <v>3</v>
      </c>
      <c r="BE52" s="70"/>
      <c r="BF52" s="70"/>
    </row>
    <row r="53" spans="1:58" ht="13.9" customHeight="1" x14ac:dyDescent="0.35">
      <c r="A53" s="137"/>
      <c r="B53" s="126"/>
      <c r="C53" s="80" t="s">
        <v>674</v>
      </c>
      <c r="D53" s="80" t="s">
        <v>0</v>
      </c>
      <c r="E53" s="80">
        <v>1600</v>
      </c>
      <c r="F53" s="80"/>
      <c r="G53" s="118"/>
      <c r="H53" s="80">
        <v>1792</v>
      </c>
      <c r="I53" s="80"/>
      <c r="J53" s="118"/>
      <c r="K53" s="72">
        <v>2132</v>
      </c>
      <c r="L53" s="72"/>
      <c r="M53" s="72"/>
      <c r="N53" s="72">
        <v>1780</v>
      </c>
      <c r="O53" s="72"/>
      <c r="P53" s="72"/>
      <c r="Q53" s="72">
        <v>1865</v>
      </c>
      <c r="R53" s="72"/>
      <c r="S53" s="118"/>
      <c r="T53" s="72">
        <v>2400</v>
      </c>
      <c r="U53" s="72"/>
      <c r="V53" s="118"/>
      <c r="W53" s="72">
        <v>1250</v>
      </c>
      <c r="X53" s="72"/>
      <c r="Y53" s="118"/>
      <c r="Z53" s="72"/>
      <c r="AA53" s="72"/>
      <c r="AB53" s="118"/>
      <c r="AC53" s="72">
        <v>1723</v>
      </c>
      <c r="AD53" s="72"/>
      <c r="AE53" s="118"/>
      <c r="AF53" s="72"/>
      <c r="AG53" s="72"/>
      <c r="AH53" s="121"/>
      <c r="AI53" s="72"/>
      <c r="AJ53" s="72"/>
      <c r="AK53" s="121"/>
      <c r="AL53" s="72"/>
      <c r="AM53" s="72"/>
      <c r="AN53" s="121"/>
      <c r="AO53" s="72"/>
      <c r="AP53" s="72"/>
      <c r="AQ53" s="118"/>
      <c r="AR53" s="70"/>
      <c r="AS53" s="89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1"/>
      <c r="BE53" s="70"/>
      <c r="BF53" s="70"/>
    </row>
    <row r="54" spans="1:58" ht="13.9" customHeight="1" x14ac:dyDescent="0.35">
      <c r="A54" s="137"/>
      <c r="B54" s="126"/>
      <c r="C54" s="80" t="s">
        <v>562</v>
      </c>
      <c r="D54" s="80" t="s">
        <v>142</v>
      </c>
      <c r="E54" s="80">
        <v>36</v>
      </c>
      <c r="F54" s="80"/>
      <c r="G54" s="118"/>
      <c r="H54" s="80">
        <v>42</v>
      </c>
      <c r="I54" s="80"/>
      <c r="J54" s="118"/>
      <c r="K54" s="72">
        <v>42.7</v>
      </c>
      <c r="L54" s="72"/>
      <c r="M54" s="72"/>
      <c r="N54" s="72">
        <v>44</v>
      </c>
      <c r="O54" s="72"/>
      <c r="P54" s="72"/>
      <c r="Q54" s="72">
        <v>42</v>
      </c>
      <c r="R54" s="72"/>
      <c r="S54" s="118"/>
      <c r="T54" s="108">
        <v>48</v>
      </c>
      <c r="U54" s="72"/>
      <c r="V54" s="118"/>
      <c r="W54" s="72">
        <v>42</v>
      </c>
      <c r="X54" s="72"/>
      <c r="Y54" s="118"/>
      <c r="Z54" s="72">
        <v>37</v>
      </c>
      <c r="AA54" s="72"/>
      <c r="AB54" s="118"/>
      <c r="AC54" s="72">
        <v>42.6</v>
      </c>
      <c r="AD54" s="72"/>
      <c r="AE54" s="118"/>
      <c r="AF54" s="72"/>
      <c r="AG54" s="72"/>
      <c r="AH54" s="121"/>
      <c r="AI54" s="72"/>
      <c r="AJ54" s="72"/>
      <c r="AK54" s="121"/>
      <c r="AL54" s="72"/>
      <c r="AM54" s="72"/>
      <c r="AN54" s="121"/>
      <c r="AO54" s="72"/>
      <c r="AP54" s="72"/>
      <c r="AQ54" s="118"/>
      <c r="AR54" s="70"/>
      <c r="AS54" s="89" t="s">
        <v>333</v>
      </c>
      <c r="AT54" s="90">
        <v>3.3</v>
      </c>
      <c r="AU54" s="90">
        <v>3.6</v>
      </c>
      <c r="AV54" s="90">
        <v>3.6</v>
      </c>
      <c r="AW54" s="90">
        <v>3</v>
      </c>
      <c r="AX54" s="90">
        <v>3</v>
      </c>
      <c r="AY54" s="90">
        <v>2.2999999999999998</v>
      </c>
      <c r="AZ54" s="90">
        <v>2.2999999999999998</v>
      </c>
      <c r="BA54" s="90">
        <v>1.7</v>
      </c>
      <c r="BB54" s="90">
        <v>2.7</v>
      </c>
      <c r="BC54" s="90">
        <v>2</v>
      </c>
      <c r="BD54" s="91">
        <v>3.8</v>
      </c>
      <c r="BE54" s="70"/>
      <c r="BF54" s="70"/>
    </row>
    <row r="55" spans="1:58" ht="13.9" customHeight="1" x14ac:dyDescent="0.35">
      <c r="A55" s="137"/>
      <c r="B55" s="126"/>
      <c r="C55" s="80" t="s">
        <v>603</v>
      </c>
      <c r="D55" s="80" t="s">
        <v>0</v>
      </c>
      <c r="E55" s="80">
        <v>10800</v>
      </c>
      <c r="F55" s="80"/>
      <c r="G55" s="118"/>
      <c r="H55" s="80"/>
      <c r="I55" s="80"/>
      <c r="J55" s="118"/>
      <c r="K55" s="72">
        <v>16556</v>
      </c>
      <c r="L55" s="72"/>
      <c r="M55" s="72"/>
      <c r="N55" s="72">
        <v>18450</v>
      </c>
      <c r="O55" s="72"/>
      <c r="P55" s="72"/>
      <c r="Q55" s="73">
        <v>18275</v>
      </c>
      <c r="R55" s="73"/>
      <c r="S55" s="118"/>
      <c r="T55" s="109">
        <v>29000</v>
      </c>
      <c r="U55" s="72"/>
      <c r="V55" s="118"/>
      <c r="W55" s="72">
        <v>10800</v>
      </c>
      <c r="X55" s="72"/>
      <c r="Y55" s="118"/>
      <c r="Z55" s="72">
        <v>21000</v>
      </c>
      <c r="AA55" s="72"/>
      <c r="AB55" s="118"/>
      <c r="AC55" s="72">
        <v>16783</v>
      </c>
      <c r="AD55" s="72"/>
      <c r="AE55" s="118"/>
      <c r="AF55" s="72"/>
      <c r="AG55" s="72"/>
      <c r="AH55" s="121"/>
      <c r="AI55" s="72"/>
      <c r="AJ55" s="72"/>
      <c r="AK55" s="121"/>
      <c r="AL55" s="72"/>
      <c r="AM55" s="72"/>
      <c r="AN55" s="121"/>
      <c r="AO55" s="72"/>
      <c r="AP55" s="72"/>
      <c r="AQ55" s="118"/>
      <c r="AR55" s="70"/>
      <c r="AS55" s="89" t="s">
        <v>336</v>
      </c>
      <c r="AT55" s="90">
        <v>3</v>
      </c>
      <c r="AU55" s="90">
        <v>3.5</v>
      </c>
      <c r="AV55" s="90">
        <v>3.5</v>
      </c>
      <c r="AW55" s="90">
        <v>4</v>
      </c>
      <c r="AX55" s="90">
        <v>2</v>
      </c>
      <c r="AY55" s="90">
        <v>3</v>
      </c>
      <c r="AZ55" s="90">
        <v>4.3</v>
      </c>
      <c r="BA55" s="90">
        <v>2</v>
      </c>
      <c r="BB55" s="90">
        <v>2.2999999999999998</v>
      </c>
      <c r="BC55" s="90">
        <v>2</v>
      </c>
      <c r="BD55" s="91">
        <v>2</v>
      </c>
      <c r="BE55" s="70"/>
      <c r="BF55" s="70"/>
    </row>
    <row r="56" spans="1:58" ht="13.9" customHeight="1" x14ac:dyDescent="0.35">
      <c r="A56" s="137"/>
      <c r="B56" s="126"/>
      <c r="C56" s="80" t="s">
        <v>694</v>
      </c>
      <c r="D56" s="80" t="s">
        <v>0</v>
      </c>
      <c r="E56" s="72">
        <v>4200</v>
      </c>
      <c r="F56" s="72"/>
      <c r="G56" s="118"/>
      <c r="H56" s="80"/>
      <c r="I56" s="80"/>
      <c r="J56" s="118"/>
      <c r="K56" s="72">
        <v>6486</v>
      </c>
      <c r="L56" s="72"/>
      <c r="M56" s="72"/>
      <c r="N56" s="72">
        <v>6175</v>
      </c>
      <c r="O56" s="72"/>
      <c r="P56" s="72"/>
      <c r="Q56" s="72">
        <v>5735</v>
      </c>
      <c r="R56" s="72"/>
      <c r="S56" s="118"/>
      <c r="T56" s="108">
        <v>13750</v>
      </c>
      <c r="U56" s="72"/>
      <c r="V56" s="118"/>
      <c r="W56" s="72">
        <v>4050</v>
      </c>
      <c r="X56" s="72"/>
      <c r="Y56" s="118"/>
      <c r="Z56" s="72">
        <v>9200</v>
      </c>
      <c r="AA56" s="72"/>
      <c r="AB56" s="118"/>
      <c r="AC56" s="72">
        <v>6713</v>
      </c>
      <c r="AD56" s="72"/>
      <c r="AE56" s="118"/>
      <c r="AF56" s="72"/>
      <c r="AG56" s="72"/>
      <c r="AH56" s="121"/>
      <c r="AI56" s="72"/>
      <c r="AJ56" s="72"/>
      <c r="AK56" s="121"/>
      <c r="AL56" s="72"/>
      <c r="AM56" s="72"/>
      <c r="AN56" s="121"/>
      <c r="AO56" s="72"/>
      <c r="AP56" s="72"/>
      <c r="AQ56" s="118"/>
      <c r="AR56" s="70"/>
      <c r="AS56" s="89" t="s">
        <v>339</v>
      </c>
      <c r="AT56" s="90">
        <v>3</v>
      </c>
      <c r="AU56" s="90">
        <v>3</v>
      </c>
      <c r="AV56" s="90">
        <v>3</v>
      </c>
      <c r="AW56" s="90">
        <v>3</v>
      </c>
      <c r="AX56" s="90">
        <v>3</v>
      </c>
      <c r="AY56" s="90">
        <v>3</v>
      </c>
      <c r="AZ56" s="90">
        <v>3</v>
      </c>
      <c r="BA56" s="90">
        <v>3</v>
      </c>
      <c r="BB56" s="90">
        <v>1</v>
      </c>
      <c r="BC56" s="90">
        <v>1</v>
      </c>
      <c r="BD56" s="91">
        <v>5</v>
      </c>
      <c r="BE56" s="70"/>
      <c r="BF56" s="70"/>
    </row>
    <row r="57" spans="1:58" ht="15" customHeight="1" x14ac:dyDescent="0.35">
      <c r="A57" s="137"/>
      <c r="B57" s="126"/>
      <c r="C57" s="9" t="s">
        <v>551</v>
      </c>
      <c r="D57" s="80" t="s">
        <v>0</v>
      </c>
      <c r="E57" s="72">
        <v>6800</v>
      </c>
      <c r="F57" s="72"/>
      <c r="G57" s="125"/>
      <c r="H57" s="80"/>
      <c r="I57" s="80"/>
      <c r="J57" s="125"/>
      <c r="K57" s="72">
        <v>13800</v>
      </c>
      <c r="L57" s="72"/>
      <c r="M57" s="72"/>
      <c r="N57" s="72">
        <v>11375</v>
      </c>
      <c r="O57" s="72"/>
      <c r="P57" s="72"/>
      <c r="Q57" s="72">
        <v>9370</v>
      </c>
      <c r="R57" s="72"/>
      <c r="S57" s="125"/>
      <c r="T57" s="109">
        <v>19600</v>
      </c>
      <c r="U57" s="72"/>
      <c r="V57" s="125"/>
      <c r="W57" s="72">
        <v>7900</v>
      </c>
      <c r="X57" s="72"/>
      <c r="Y57" s="125"/>
      <c r="Z57" s="72"/>
      <c r="AA57" s="72"/>
      <c r="AB57" s="125"/>
      <c r="AC57" s="72">
        <v>8073</v>
      </c>
      <c r="AD57" s="72"/>
      <c r="AE57" s="125"/>
      <c r="AF57" s="72"/>
      <c r="AG57" s="72"/>
      <c r="AH57" s="132"/>
      <c r="AI57" s="72"/>
      <c r="AJ57" s="72"/>
      <c r="AK57" s="132"/>
      <c r="AL57" s="72"/>
      <c r="AM57" s="72"/>
      <c r="AN57" s="132"/>
      <c r="AO57" s="72"/>
      <c r="AP57" s="72"/>
      <c r="AQ57" s="125"/>
      <c r="AR57" s="70"/>
      <c r="AS57" s="89" t="s">
        <v>342</v>
      </c>
      <c r="AT57" s="90">
        <v>4</v>
      </c>
      <c r="AU57" s="90">
        <v>4</v>
      </c>
      <c r="AV57" s="90">
        <v>5</v>
      </c>
      <c r="AW57" s="90">
        <v>4</v>
      </c>
      <c r="AX57" s="90">
        <v>4</v>
      </c>
      <c r="AY57" s="90">
        <v>2</v>
      </c>
      <c r="AZ57" s="90">
        <v>2</v>
      </c>
      <c r="BA57" s="90">
        <v>1</v>
      </c>
      <c r="BB57" s="90">
        <v>3</v>
      </c>
      <c r="BC57" s="90">
        <v>3</v>
      </c>
      <c r="BD57" s="91">
        <v>2</v>
      </c>
      <c r="BE57" s="70"/>
      <c r="BF57" s="70"/>
    </row>
    <row r="58" spans="1:58" ht="13.9" customHeight="1" x14ac:dyDescent="0.35">
      <c r="A58" s="137"/>
      <c r="B58" s="127" t="s">
        <v>568</v>
      </c>
      <c r="C58" s="80" t="s">
        <v>385</v>
      </c>
      <c r="D58" s="80" t="s">
        <v>22</v>
      </c>
      <c r="E58" s="80">
        <v>1.5</v>
      </c>
      <c r="F58" s="80"/>
      <c r="G58" s="130"/>
      <c r="H58" s="80">
        <v>2.7</v>
      </c>
      <c r="I58" s="80"/>
      <c r="J58" s="130"/>
      <c r="K58" s="80"/>
      <c r="L58" s="80"/>
      <c r="M58" s="80"/>
      <c r="N58" s="80">
        <v>1.7</v>
      </c>
      <c r="O58" s="80"/>
      <c r="P58" s="80"/>
      <c r="Q58" s="72">
        <v>1.7</v>
      </c>
      <c r="R58" s="72"/>
      <c r="S58" s="122"/>
      <c r="T58" s="72">
        <v>2</v>
      </c>
      <c r="U58" s="72"/>
      <c r="V58" s="122"/>
      <c r="W58" s="72">
        <v>1</v>
      </c>
      <c r="X58" s="72"/>
      <c r="Y58" s="122"/>
      <c r="Z58" s="72">
        <v>2.5</v>
      </c>
      <c r="AA58" s="72"/>
      <c r="AB58" s="120"/>
      <c r="AC58" s="72">
        <v>0</v>
      </c>
      <c r="AD58" s="72"/>
      <c r="AE58" s="122"/>
      <c r="AF58" s="72"/>
      <c r="AG58" s="72"/>
      <c r="AH58" s="122"/>
      <c r="AI58" s="72"/>
      <c r="AJ58" s="72"/>
      <c r="AK58" s="122"/>
      <c r="AL58" s="72"/>
      <c r="AM58" s="72"/>
      <c r="AN58" s="122"/>
      <c r="AO58" s="72"/>
      <c r="AP58" s="72"/>
      <c r="AQ58" s="122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</row>
    <row r="59" spans="1:58" ht="13.9" customHeight="1" x14ac:dyDescent="0.35">
      <c r="A59" s="137"/>
      <c r="B59" s="128"/>
      <c r="C59" s="80" t="s">
        <v>565</v>
      </c>
      <c r="D59" s="80" t="s">
        <v>564</v>
      </c>
      <c r="E59" s="80">
        <v>45</v>
      </c>
      <c r="F59" s="80"/>
      <c r="G59" s="133"/>
      <c r="H59" s="80">
        <v>54</v>
      </c>
      <c r="I59" s="80"/>
      <c r="J59" s="133"/>
      <c r="K59" s="80"/>
      <c r="L59" s="80"/>
      <c r="M59" s="80"/>
      <c r="N59" s="80">
        <v>40</v>
      </c>
      <c r="O59" s="80"/>
      <c r="P59" s="80"/>
      <c r="Q59" s="72">
        <v>40</v>
      </c>
      <c r="R59" s="72"/>
      <c r="S59" s="118"/>
      <c r="T59" s="72"/>
      <c r="U59" s="72"/>
      <c r="V59" s="118"/>
      <c r="W59" s="72">
        <v>60</v>
      </c>
      <c r="X59" s="72"/>
      <c r="Y59" s="118"/>
      <c r="Z59" s="72">
        <v>45</v>
      </c>
      <c r="AA59" s="72"/>
      <c r="AB59" s="120"/>
      <c r="AC59" s="72">
        <v>50</v>
      </c>
      <c r="AD59" s="72"/>
      <c r="AE59" s="118"/>
      <c r="AF59" s="72"/>
      <c r="AG59" s="72"/>
      <c r="AH59" s="118"/>
      <c r="AI59" s="72"/>
      <c r="AJ59" s="72"/>
      <c r="AK59" s="118"/>
      <c r="AL59" s="72"/>
      <c r="AM59" s="72"/>
      <c r="AN59" s="118"/>
      <c r="AO59" s="72"/>
      <c r="AP59" s="72"/>
      <c r="AQ59" s="118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</row>
    <row r="60" spans="1:58" ht="13.9" customHeight="1" x14ac:dyDescent="0.35">
      <c r="A60" s="137"/>
      <c r="B60" s="128"/>
      <c r="C60" s="80" t="s">
        <v>566</v>
      </c>
      <c r="D60" s="80" t="s">
        <v>564</v>
      </c>
      <c r="E60" s="80">
        <v>80</v>
      </c>
      <c r="F60" s="80"/>
      <c r="G60" s="133"/>
      <c r="H60" s="80">
        <v>72</v>
      </c>
      <c r="I60" s="80"/>
      <c r="J60" s="133"/>
      <c r="K60" s="80"/>
      <c r="L60" s="80"/>
      <c r="M60" s="80"/>
      <c r="N60" s="80">
        <v>61</v>
      </c>
      <c r="O60" s="80"/>
      <c r="P60" s="80"/>
      <c r="Q60" s="72">
        <v>61</v>
      </c>
      <c r="R60" s="72"/>
      <c r="S60" s="118"/>
      <c r="T60" s="72"/>
      <c r="U60" s="72"/>
      <c r="V60" s="118"/>
      <c r="W60" s="72">
        <v>160</v>
      </c>
      <c r="X60" s="72"/>
      <c r="Y60" s="118"/>
      <c r="Z60" s="72"/>
      <c r="AA60" s="72"/>
      <c r="AB60" s="120"/>
      <c r="AC60" s="72">
        <v>60</v>
      </c>
      <c r="AD60" s="72"/>
      <c r="AE60" s="118"/>
      <c r="AF60" s="72"/>
      <c r="AG60" s="72"/>
      <c r="AH60" s="118"/>
      <c r="AI60" s="72"/>
      <c r="AJ60" s="72"/>
      <c r="AK60" s="118"/>
      <c r="AL60" s="72"/>
      <c r="AM60" s="72"/>
      <c r="AN60" s="118"/>
      <c r="AO60" s="72"/>
      <c r="AP60" s="72"/>
      <c r="AQ60" s="118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</row>
    <row r="61" spans="1:58" ht="13.9" customHeight="1" x14ac:dyDescent="0.35">
      <c r="A61" s="137"/>
      <c r="B61" s="128"/>
      <c r="C61" s="80"/>
      <c r="D61" s="80"/>
      <c r="E61" s="80"/>
      <c r="F61" s="80"/>
      <c r="G61" s="133"/>
      <c r="H61" s="80"/>
      <c r="I61" s="80"/>
      <c r="J61" s="133"/>
      <c r="K61" s="80"/>
      <c r="L61" s="80"/>
      <c r="M61" s="80"/>
      <c r="N61" s="80"/>
      <c r="O61" s="80"/>
      <c r="P61" s="80"/>
      <c r="Q61" s="72"/>
      <c r="R61" s="72"/>
      <c r="S61" s="118"/>
      <c r="T61" s="72"/>
      <c r="U61" s="72"/>
      <c r="V61" s="118"/>
      <c r="W61" s="72"/>
      <c r="X61" s="72"/>
      <c r="Y61" s="118"/>
      <c r="Z61" s="72"/>
      <c r="AA61" s="72"/>
      <c r="AB61" s="120"/>
      <c r="AC61" s="72"/>
      <c r="AD61" s="72"/>
      <c r="AE61" s="118"/>
      <c r="AF61" s="72"/>
      <c r="AG61" s="72"/>
      <c r="AH61" s="118"/>
      <c r="AI61" s="72"/>
      <c r="AJ61" s="72"/>
      <c r="AK61" s="118"/>
      <c r="AL61" s="72"/>
      <c r="AM61" s="72"/>
      <c r="AN61" s="118"/>
      <c r="AO61" s="72"/>
      <c r="AP61" s="72"/>
      <c r="AQ61" s="118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</row>
    <row r="62" spans="1:58" ht="13.9" customHeight="1" x14ac:dyDescent="0.35">
      <c r="A62" s="137"/>
      <c r="B62" s="128"/>
      <c r="C62" s="80"/>
      <c r="D62" s="80"/>
      <c r="E62" s="80"/>
      <c r="F62" s="80"/>
      <c r="G62" s="133"/>
      <c r="H62" s="80"/>
      <c r="I62" s="80"/>
      <c r="J62" s="133"/>
      <c r="K62" s="80"/>
      <c r="L62" s="80"/>
      <c r="M62" s="80"/>
      <c r="N62" s="80"/>
      <c r="O62" s="80"/>
      <c r="P62" s="80"/>
      <c r="Q62" s="72"/>
      <c r="R62" s="72"/>
      <c r="S62" s="118"/>
      <c r="T62" s="72"/>
      <c r="U62" s="72"/>
      <c r="V62" s="118"/>
      <c r="W62" s="72"/>
      <c r="X62" s="72"/>
      <c r="Y62" s="118"/>
      <c r="Z62" s="72"/>
      <c r="AA62" s="72"/>
      <c r="AB62" s="120"/>
      <c r="AC62" s="72"/>
      <c r="AD62" s="72"/>
      <c r="AE62" s="118"/>
      <c r="AF62" s="72"/>
      <c r="AG62" s="72"/>
      <c r="AH62" s="118"/>
      <c r="AI62" s="72"/>
      <c r="AJ62" s="72"/>
      <c r="AK62" s="118"/>
      <c r="AL62" s="72"/>
      <c r="AM62" s="72"/>
      <c r="AN62" s="118"/>
      <c r="AO62" s="72"/>
      <c r="AP62" s="72"/>
      <c r="AQ62" s="118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</row>
    <row r="63" spans="1:58" ht="13.9" customHeight="1" x14ac:dyDescent="0.35">
      <c r="A63" s="137"/>
      <c r="B63" s="129"/>
      <c r="C63" s="80"/>
      <c r="D63" s="80"/>
      <c r="E63" s="80"/>
      <c r="F63" s="80"/>
      <c r="G63" s="131"/>
      <c r="H63" s="80"/>
      <c r="I63" s="80"/>
      <c r="J63" s="131"/>
      <c r="K63" s="80"/>
      <c r="L63" s="80"/>
      <c r="M63" s="80"/>
      <c r="N63" s="80"/>
      <c r="O63" s="80"/>
      <c r="P63" s="80"/>
      <c r="Q63" s="72"/>
      <c r="R63" s="72"/>
      <c r="S63" s="125"/>
      <c r="T63" s="73"/>
      <c r="U63" s="73"/>
      <c r="V63" s="125"/>
      <c r="W63" s="72"/>
      <c r="X63" s="72"/>
      <c r="Y63" s="125"/>
      <c r="Z63" s="72"/>
      <c r="AA63" s="72"/>
      <c r="AB63" s="120"/>
      <c r="AC63" s="72"/>
      <c r="AD63" s="72"/>
      <c r="AE63" s="125"/>
      <c r="AF63" s="72"/>
      <c r="AG63" s="72"/>
      <c r="AH63" s="125"/>
      <c r="AI63" s="72"/>
      <c r="AJ63" s="72"/>
      <c r="AK63" s="125"/>
      <c r="AL63" s="72"/>
      <c r="AM63" s="72"/>
      <c r="AN63" s="125"/>
      <c r="AO63" s="72"/>
      <c r="AP63" s="72"/>
      <c r="AQ63" s="125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</row>
    <row r="64" spans="1:58" ht="13.9" customHeight="1" x14ac:dyDescent="0.35">
      <c r="A64" s="137"/>
      <c r="B64" s="127"/>
      <c r="C64" s="80"/>
      <c r="D64" s="80"/>
      <c r="E64" s="80"/>
      <c r="F64" s="80"/>
      <c r="G64" s="130"/>
      <c r="H64" s="80"/>
      <c r="I64" s="80"/>
      <c r="J64" s="130"/>
      <c r="K64" s="80"/>
      <c r="L64" s="80"/>
      <c r="M64" s="80"/>
      <c r="N64" s="80"/>
      <c r="O64" s="80"/>
      <c r="P64" s="80"/>
      <c r="Q64" s="72"/>
      <c r="R64" s="72"/>
      <c r="S64" s="122"/>
      <c r="T64" s="102"/>
      <c r="U64" s="72"/>
      <c r="V64" s="122"/>
      <c r="W64" s="72"/>
      <c r="X64" s="72"/>
      <c r="Y64" s="122"/>
      <c r="Z64" s="72"/>
      <c r="AA64" s="72"/>
      <c r="AB64" s="120"/>
      <c r="AC64" s="72"/>
      <c r="AD64" s="72"/>
      <c r="AE64" s="122"/>
      <c r="AF64" s="72"/>
      <c r="AG64" s="72"/>
      <c r="AH64" s="122"/>
      <c r="AI64" s="72"/>
      <c r="AJ64" s="72"/>
      <c r="AK64" s="122"/>
      <c r="AL64" s="72"/>
      <c r="AM64" s="72"/>
      <c r="AN64" s="122"/>
      <c r="AO64" s="72"/>
      <c r="AP64" s="72"/>
      <c r="AQ64" s="122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</row>
    <row r="65" spans="1:58" ht="13.9" customHeight="1" x14ac:dyDescent="0.35">
      <c r="A65" s="137"/>
      <c r="B65" s="129"/>
      <c r="C65" s="80"/>
      <c r="D65" s="80"/>
      <c r="E65" s="80"/>
      <c r="F65" s="80"/>
      <c r="G65" s="131"/>
      <c r="H65" s="80"/>
      <c r="I65" s="80"/>
      <c r="J65" s="131"/>
      <c r="K65" s="80"/>
      <c r="L65" s="80"/>
      <c r="M65" s="80"/>
      <c r="N65" s="80"/>
      <c r="O65" s="80"/>
      <c r="P65" s="80"/>
      <c r="Q65" s="72"/>
      <c r="R65" s="72"/>
      <c r="S65" s="125"/>
      <c r="T65" s="102"/>
      <c r="U65" s="72"/>
      <c r="V65" s="125"/>
      <c r="W65" s="72"/>
      <c r="X65" s="72"/>
      <c r="Y65" s="125"/>
      <c r="Z65" s="72"/>
      <c r="AA65" s="72"/>
      <c r="AB65" s="120"/>
      <c r="AC65" s="72"/>
      <c r="AD65" s="72"/>
      <c r="AE65" s="125"/>
      <c r="AF65" s="72"/>
      <c r="AG65" s="72"/>
      <c r="AH65" s="125"/>
      <c r="AI65" s="72"/>
      <c r="AJ65" s="72"/>
      <c r="AK65" s="125"/>
      <c r="AL65" s="72"/>
      <c r="AM65" s="72"/>
      <c r="AN65" s="125"/>
      <c r="AO65" s="72"/>
      <c r="AP65" s="72"/>
      <c r="AQ65" s="125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</row>
    <row r="66" spans="1:58" x14ac:dyDescent="0.35">
      <c r="A66" s="137"/>
      <c r="B66" s="127"/>
      <c r="C66" s="80"/>
      <c r="D66" s="80"/>
      <c r="E66" s="72"/>
      <c r="F66" s="72"/>
      <c r="G66" s="122"/>
      <c r="H66" s="72"/>
      <c r="I66" s="72"/>
      <c r="J66" s="122"/>
      <c r="K66" s="72"/>
      <c r="L66" s="72"/>
      <c r="M66" s="72"/>
      <c r="N66" s="72"/>
      <c r="O66" s="72"/>
      <c r="P66" s="72"/>
      <c r="Q66" s="72"/>
      <c r="R66" s="72"/>
      <c r="S66" s="122"/>
      <c r="T66" s="72"/>
      <c r="U66" s="72"/>
      <c r="V66" s="122"/>
      <c r="W66" s="72"/>
      <c r="X66" s="72"/>
      <c r="Y66" s="122"/>
      <c r="Z66" s="72"/>
      <c r="AA66" s="72"/>
      <c r="AB66" s="118"/>
      <c r="AC66" s="72"/>
      <c r="AD66" s="72"/>
      <c r="AE66" s="122"/>
      <c r="AF66" s="72"/>
      <c r="AG66" s="72"/>
      <c r="AH66" s="122"/>
      <c r="AI66" s="72"/>
      <c r="AJ66" s="72"/>
      <c r="AK66" s="122"/>
      <c r="AL66" s="72"/>
      <c r="AM66" s="72"/>
      <c r="AN66" s="122"/>
      <c r="AO66" s="72"/>
      <c r="AP66" s="72"/>
      <c r="AQ66" s="122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</row>
    <row r="67" spans="1:58" x14ac:dyDescent="0.35">
      <c r="A67" s="137"/>
      <c r="B67" s="128"/>
      <c r="C67" s="80"/>
      <c r="D67" s="80"/>
      <c r="E67" s="80"/>
      <c r="F67" s="80"/>
      <c r="G67" s="118"/>
      <c r="H67" s="80"/>
      <c r="I67" s="80"/>
      <c r="J67" s="118"/>
      <c r="K67" s="72"/>
      <c r="L67" s="72"/>
      <c r="M67" s="72"/>
      <c r="N67" s="72"/>
      <c r="O67" s="72"/>
      <c r="P67" s="72"/>
      <c r="Q67" s="73"/>
      <c r="R67" s="73"/>
      <c r="S67" s="118"/>
      <c r="T67" s="72"/>
      <c r="U67" s="72"/>
      <c r="V67" s="118"/>
      <c r="W67" s="72"/>
      <c r="X67" s="72"/>
      <c r="Y67" s="118"/>
      <c r="Z67" s="72"/>
      <c r="AA67" s="72"/>
      <c r="AB67" s="118"/>
      <c r="AC67" s="72"/>
      <c r="AD67" s="72"/>
      <c r="AE67" s="118"/>
      <c r="AF67" s="72"/>
      <c r="AG67" s="72"/>
      <c r="AH67" s="118"/>
      <c r="AI67" s="72"/>
      <c r="AJ67" s="72"/>
      <c r="AK67" s="118"/>
      <c r="AL67" s="72"/>
      <c r="AM67" s="72"/>
      <c r="AN67" s="118"/>
      <c r="AO67" s="72"/>
      <c r="AP67" s="72"/>
      <c r="AQ67" s="118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</row>
    <row r="68" spans="1:58" ht="13.9" customHeight="1" x14ac:dyDescent="0.35">
      <c r="A68" s="138"/>
      <c r="B68" s="129"/>
      <c r="C68" s="80"/>
      <c r="D68" s="80"/>
      <c r="E68" s="80"/>
      <c r="F68" s="80"/>
      <c r="G68" s="125"/>
      <c r="H68" s="80"/>
      <c r="I68" s="80"/>
      <c r="J68" s="125"/>
      <c r="K68" s="72"/>
      <c r="L68" s="72"/>
      <c r="M68" s="72"/>
      <c r="N68" s="72"/>
      <c r="O68" s="72"/>
      <c r="P68" s="72"/>
      <c r="Q68" s="73"/>
      <c r="R68" s="73"/>
      <c r="S68" s="125"/>
      <c r="T68" s="72"/>
      <c r="U68" s="72"/>
      <c r="V68" s="125"/>
      <c r="W68" s="72"/>
      <c r="X68" s="72"/>
      <c r="Y68" s="125"/>
      <c r="Z68" s="72"/>
      <c r="AA68" s="72"/>
      <c r="AB68" s="125"/>
      <c r="AC68" s="72"/>
      <c r="AD68" s="72"/>
      <c r="AE68" s="125"/>
      <c r="AF68" s="72"/>
      <c r="AG68" s="72"/>
      <c r="AH68" s="125"/>
      <c r="AI68" s="73"/>
      <c r="AJ68" s="73"/>
      <c r="AK68" s="125"/>
      <c r="AL68" s="73"/>
      <c r="AM68" s="73"/>
      <c r="AN68" s="125"/>
      <c r="AO68" s="73"/>
      <c r="AP68" s="73"/>
      <c r="AQ68" s="125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</row>
    <row r="69" spans="1:58" x14ac:dyDescent="0.35">
      <c r="A69" s="119" t="s">
        <v>388</v>
      </c>
      <c r="B69" s="126"/>
      <c r="C69" s="80"/>
      <c r="D69" s="72"/>
      <c r="E69" s="72"/>
      <c r="F69" s="72"/>
      <c r="G69" s="122"/>
      <c r="H69" s="72"/>
      <c r="I69" s="72"/>
      <c r="J69" s="122"/>
      <c r="K69" s="72"/>
      <c r="L69" s="72"/>
      <c r="M69" s="72"/>
      <c r="N69" s="72"/>
      <c r="O69" s="72"/>
      <c r="P69" s="72"/>
      <c r="Q69" s="72"/>
      <c r="R69" s="72"/>
      <c r="S69" s="122"/>
      <c r="T69" s="72"/>
      <c r="U69" s="72"/>
      <c r="V69" s="122"/>
      <c r="W69" s="72"/>
      <c r="X69" s="72"/>
      <c r="Y69" s="122"/>
      <c r="Z69" s="72"/>
      <c r="AA69" s="72"/>
      <c r="AB69" s="122"/>
      <c r="AC69" s="72"/>
      <c r="AD69" s="72"/>
      <c r="AE69" s="122"/>
      <c r="AF69" s="72"/>
      <c r="AG69" s="72"/>
      <c r="AH69" s="122"/>
      <c r="AI69" s="72"/>
      <c r="AJ69" s="72"/>
      <c r="AK69" s="122"/>
      <c r="AL69" s="72"/>
      <c r="AM69" s="72"/>
      <c r="AN69" s="122"/>
      <c r="AO69" s="72"/>
      <c r="AP69" s="72"/>
      <c r="AQ69" s="122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</row>
    <row r="70" spans="1:58" x14ac:dyDescent="0.35">
      <c r="A70" s="119"/>
      <c r="B70" s="126"/>
      <c r="C70" s="80" t="s">
        <v>571</v>
      </c>
      <c r="D70" s="72"/>
      <c r="E70" s="72"/>
      <c r="F70" s="72"/>
      <c r="G70" s="118"/>
      <c r="H70" s="72"/>
      <c r="I70" s="72"/>
      <c r="J70" s="118"/>
      <c r="K70" s="72"/>
      <c r="L70" s="72"/>
      <c r="M70" s="72"/>
      <c r="N70" s="72"/>
      <c r="O70" s="72"/>
      <c r="P70" s="72"/>
      <c r="Q70" s="72"/>
      <c r="R70" s="72"/>
      <c r="S70" s="118"/>
      <c r="T70" s="72"/>
      <c r="U70" s="72"/>
      <c r="V70" s="118"/>
      <c r="W70" s="72"/>
      <c r="X70" s="72"/>
      <c r="Y70" s="118"/>
      <c r="Z70" s="72"/>
      <c r="AA70" s="72"/>
      <c r="AB70" s="118"/>
      <c r="AC70" s="72"/>
      <c r="AD70" s="72"/>
      <c r="AE70" s="118"/>
      <c r="AF70" s="72"/>
      <c r="AG70" s="72"/>
      <c r="AH70" s="118"/>
      <c r="AI70" s="72"/>
      <c r="AJ70" s="72"/>
      <c r="AK70" s="118"/>
      <c r="AL70" s="72"/>
      <c r="AM70" s="72"/>
      <c r="AN70" s="118"/>
      <c r="AO70" s="72"/>
      <c r="AP70" s="72"/>
      <c r="AQ70" s="118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</row>
    <row r="71" spans="1:58" x14ac:dyDescent="0.35">
      <c r="A71" s="119"/>
      <c r="B71" s="126"/>
      <c r="C71" s="80" t="s">
        <v>572</v>
      </c>
      <c r="D71" s="72"/>
      <c r="E71" s="72"/>
      <c r="F71" s="72"/>
      <c r="G71" s="122"/>
      <c r="H71" s="93"/>
      <c r="I71" s="72"/>
      <c r="J71" s="122"/>
      <c r="K71" s="72"/>
      <c r="L71" s="72"/>
      <c r="M71" s="72"/>
      <c r="N71" s="72"/>
      <c r="O71" s="72"/>
      <c r="P71" s="72"/>
      <c r="Q71" s="93"/>
      <c r="R71" s="93"/>
      <c r="S71" s="122"/>
      <c r="T71" s="72"/>
      <c r="U71" s="72"/>
      <c r="V71" s="122"/>
      <c r="W71" s="72"/>
      <c r="X71" s="72"/>
      <c r="Y71" s="122"/>
      <c r="Z71" s="72"/>
      <c r="AA71" s="72"/>
      <c r="AB71" s="122"/>
      <c r="AC71" s="72"/>
      <c r="AD71" s="72"/>
      <c r="AE71" s="122"/>
      <c r="AF71" s="72"/>
      <c r="AG71" s="72"/>
      <c r="AH71" s="122"/>
      <c r="AI71" s="72"/>
      <c r="AJ71" s="72"/>
      <c r="AK71" s="122"/>
      <c r="AL71" s="72"/>
      <c r="AM71" s="72"/>
      <c r="AN71" s="122"/>
      <c r="AO71" s="72"/>
      <c r="AP71" s="72"/>
      <c r="AQ71" s="122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</row>
    <row r="72" spans="1:58" x14ac:dyDescent="0.35">
      <c r="A72" s="119"/>
      <c r="B72" s="126"/>
      <c r="C72" s="80" t="s">
        <v>574</v>
      </c>
      <c r="D72" s="72"/>
      <c r="E72" s="72"/>
      <c r="F72" s="72"/>
      <c r="G72" s="118"/>
      <c r="H72" s="72"/>
      <c r="I72" s="72"/>
      <c r="J72" s="118"/>
      <c r="K72" s="72"/>
      <c r="L72" s="72"/>
      <c r="M72" s="72"/>
      <c r="N72" s="72"/>
      <c r="O72" s="72"/>
      <c r="P72" s="72"/>
      <c r="Q72" s="72"/>
      <c r="R72" s="72"/>
      <c r="S72" s="118"/>
      <c r="T72" s="72"/>
      <c r="U72" s="72"/>
      <c r="V72" s="118"/>
      <c r="W72" s="72"/>
      <c r="X72" s="72"/>
      <c r="Y72" s="118"/>
      <c r="Z72" s="72"/>
      <c r="AA72" s="72"/>
      <c r="AB72" s="118"/>
      <c r="AC72" s="72"/>
      <c r="AD72" s="72"/>
      <c r="AE72" s="118"/>
      <c r="AF72" s="72"/>
      <c r="AG72" s="72"/>
      <c r="AH72" s="118"/>
      <c r="AI72" s="72"/>
      <c r="AJ72" s="72"/>
      <c r="AK72" s="118"/>
      <c r="AL72" s="72"/>
      <c r="AM72" s="72"/>
      <c r="AN72" s="118"/>
      <c r="AO72" s="72"/>
      <c r="AP72" s="72"/>
      <c r="AQ72" s="118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</row>
    <row r="73" spans="1:58" x14ac:dyDescent="0.35">
      <c r="A73" s="119"/>
      <c r="B73" s="126"/>
      <c r="C73" s="80" t="s">
        <v>586</v>
      </c>
      <c r="D73" s="72"/>
      <c r="E73" s="72"/>
      <c r="F73" s="72"/>
      <c r="G73" s="118"/>
      <c r="H73" s="72"/>
      <c r="I73" s="72"/>
      <c r="J73" s="118"/>
      <c r="K73" s="72"/>
      <c r="L73" s="72"/>
      <c r="M73" s="72"/>
      <c r="N73" s="72"/>
      <c r="O73" s="72"/>
      <c r="P73" s="72"/>
      <c r="Q73" s="72"/>
      <c r="R73" s="72"/>
      <c r="S73" s="118"/>
      <c r="T73" s="72"/>
      <c r="U73" s="72"/>
      <c r="V73" s="118"/>
      <c r="W73" s="72"/>
      <c r="X73" s="72"/>
      <c r="Y73" s="118"/>
      <c r="Z73" s="72"/>
      <c r="AA73" s="72"/>
      <c r="AB73" s="118"/>
      <c r="AC73" s="72"/>
      <c r="AD73" s="72"/>
      <c r="AE73" s="118"/>
      <c r="AF73" s="72"/>
      <c r="AG73" s="72"/>
      <c r="AH73" s="118"/>
      <c r="AI73" s="72"/>
      <c r="AJ73" s="72"/>
      <c r="AK73" s="118"/>
      <c r="AL73" s="72"/>
      <c r="AM73" s="72"/>
      <c r="AN73" s="118"/>
      <c r="AO73" s="72"/>
      <c r="AP73" s="72"/>
      <c r="AQ73" s="118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</row>
    <row r="74" spans="1:58" x14ac:dyDescent="0.35">
      <c r="A74" s="119"/>
      <c r="B74" s="126"/>
      <c r="C74" s="80" t="s">
        <v>600</v>
      </c>
      <c r="D74" s="72"/>
      <c r="E74" s="72"/>
      <c r="F74" s="72"/>
      <c r="G74" s="118"/>
      <c r="H74" s="72" t="s">
        <v>697</v>
      </c>
      <c r="I74" s="72"/>
      <c r="J74" s="118"/>
      <c r="K74" s="72" t="s">
        <v>615</v>
      </c>
      <c r="L74" s="72"/>
      <c r="M74" s="72"/>
      <c r="N74" s="72" t="s">
        <v>615</v>
      </c>
      <c r="O74" s="72"/>
      <c r="P74" s="72"/>
      <c r="Q74" s="72" t="s">
        <v>615</v>
      </c>
      <c r="R74" s="72"/>
      <c r="S74" s="118"/>
      <c r="T74" s="72"/>
      <c r="U74" s="72"/>
      <c r="V74" s="118"/>
      <c r="W74" s="72" t="s">
        <v>615</v>
      </c>
      <c r="X74" s="72"/>
      <c r="Y74" s="118"/>
      <c r="Z74" s="72"/>
      <c r="AA74" s="72"/>
      <c r="AB74" s="118"/>
      <c r="AC74" s="72"/>
      <c r="AD74" s="72"/>
      <c r="AE74" s="118"/>
      <c r="AF74" s="72"/>
      <c r="AG74" s="72"/>
      <c r="AH74" s="118"/>
      <c r="AI74" s="72"/>
      <c r="AJ74" s="72"/>
      <c r="AK74" s="118"/>
      <c r="AL74" s="72"/>
      <c r="AM74" s="72"/>
      <c r="AN74" s="118"/>
      <c r="AO74" s="72"/>
      <c r="AP74" s="72"/>
      <c r="AQ74" s="118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</row>
    <row r="75" spans="1:58" x14ac:dyDescent="0.35">
      <c r="A75" s="119"/>
      <c r="B75" s="126"/>
      <c r="C75" s="80" t="s">
        <v>616</v>
      </c>
      <c r="D75" s="72"/>
      <c r="E75" s="72"/>
      <c r="F75" s="72"/>
      <c r="G75" s="118"/>
      <c r="H75" s="72"/>
      <c r="I75" s="72"/>
      <c r="J75" s="118"/>
      <c r="K75" s="72" t="s">
        <v>619</v>
      </c>
      <c r="L75" s="72"/>
      <c r="M75" s="72"/>
      <c r="N75" s="72" t="s">
        <v>619</v>
      </c>
      <c r="O75" s="72"/>
      <c r="P75" s="72"/>
      <c r="Q75" s="72" t="s">
        <v>619</v>
      </c>
      <c r="R75" s="72"/>
      <c r="S75" s="118"/>
      <c r="T75" s="102"/>
      <c r="U75" s="72"/>
      <c r="V75" s="118"/>
      <c r="W75" s="72"/>
      <c r="X75" s="72"/>
      <c r="Y75" s="118"/>
      <c r="Z75" s="72"/>
      <c r="AA75" s="72"/>
      <c r="AB75" s="118"/>
      <c r="AC75" s="72"/>
      <c r="AD75" s="72"/>
      <c r="AE75" s="118"/>
      <c r="AF75" s="72"/>
      <c r="AG75" s="72"/>
      <c r="AH75" s="118"/>
      <c r="AI75" s="72"/>
      <c r="AJ75" s="72"/>
      <c r="AK75" s="118"/>
      <c r="AL75" s="72"/>
      <c r="AM75" s="72"/>
      <c r="AN75" s="118"/>
      <c r="AO75" s="72"/>
      <c r="AP75" s="72"/>
      <c r="AQ75" s="118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</row>
    <row r="76" spans="1:58" x14ac:dyDescent="0.35">
      <c r="A76" s="119"/>
      <c r="B76" s="126"/>
      <c r="C76" s="80" t="s">
        <v>618</v>
      </c>
      <c r="D76" s="72"/>
      <c r="E76" s="72"/>
      <c r="F76" s="72"/>
      <c r="G76" s="118"/>
      <c r="H76" s="72"/>
      <c r="I76" s="72"/>
      <c r="J76" s="118"/>
      <c r="K76" s="72"/>
      <c r="L76" s="72"/>
      <c r="M76" s="72"/>
      <c r="N76" s="72"/>
      <c r="O76" s="72"/>
      <c r="P76" s="72"/>
      <c r="Q76" s="72"/>
      <c r="R76" s="72"/>
      <c r="S76" s="118"/>
      <c r="T76" s="72"/>
      <c r="U76" s="72"/>
      <c r="V76" s="118"/>
      <c r="W76" s="72"/>
      <c r="X76" s="72"/>
      <c r="Y76" s="118"/>
      <c r="Z76" s="72"/>
      <c r="AA76" s="72"/>
      <c r="AB76" s="118"/>
      <c r="AC76" s="72"/>
      <c r="AD76" s="72"/>
      <c r="AE76" s="118"/>
      <c r="AF76" s="72"/>
      <c r="AG76" s="107"/>
      <c r="AH76" s="118"/>
      <c r="AI76" s="72"/>
      <c r="AJ76" s="72"/>
      <c r="AK76" s="118"/>
      <c r="AL76" s="72"/>
      <c r="AM76" s="72"/>
      <c r="AN76" s="118"/>
      <c r="AO76" s="72"/>
      <c r="AP76" s="72"/>
      <c r="AQ76" s="118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</row>
    <row r="77" spans="1:58" x14ac:dyDescent="0.35">
      <c r="A77" s="119"/>
      <c r="B77" s="126"/>
      <c r="C77" s="80" t="s">
        <v>625</v>
      </c>
      <c r="D77" s="72"/>
      <c r="E77" s="72" t="s">
        <v>669</v>
      </c>
      <c r="F77" s="72"/>
      <c r="G77" s="125"/>
      <c r="H77" s="72"/>
      <c r="I77" s="72"/>
      <c r="J77" s="125"/>
      <c r="K77" s="72"/>
      <c r="L77" s="72"/>
      <c r="M77" s="72"/>
      <c r="N77" s="72"/>
      <c r="O77" s="72"/>
      <c r="P77" s="72"/>
      <c r="Q77" s="72"/>
      <c r="R77" s="72"/>
      <c r="S77" s="125"/>
      <c r="T77" s="72" t="s">
        <v>626</v>
      </c>
      <c r="U77" s="72"/>
      <c r="V77" s="125"/>
      <c r="W77" s="73"/>
      <c r="X77" s="73"/>
      <c r="Y77" s="125"/>
      <c r="Z77" s="73"/>
      <c r="AA77" s="72"/>
      <c r="AB77" s="125"/>
      <c r="AC77" s="73"/>
      <c r="AD77" s="72"/>
      <c r="AE77" s="125"/>
      <c r="AF77" s="72"/>
      <c r="AG77" s="72"/>
      <c r="AH77" s="125"/>
      <c r="AI77" s="72"/>
      <c r="AJ77" s="72"/>
      <c r="AK77" s="125"/>
      <c r="AL77" s="72"/>
      <c r="AM77" s="72"/>
      <c r="AN77" s="125"/>
      <c r="AO77" s="72"/>
      <c r="AP77" s="72"/>
      <c r="AQ77" s="125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</row>
    <row r="78" spans="1:58" x14ac:dyDescent="0.35">
      <c r="A78" s="119"/>
      <c r="B78" s="126"/>
      <c r="C78" s="80" t="s">
        <v>657</v>
      </c>
      <c r="D78" s="72"/>
      <c r="E78" s="72"/>
      <c r="F78" s="72"/>
      <c r="G78" s="122"/>
      <c r="H78" s="72"/>
      <c r="I78" s="72"/>
      <c r="J78" s="122"/>
      <c r="K78" s="72"/>
      <c r="L78" s="72"/>
      <c r="M78" s="72"/>
      <c r="N78" s="72"/>
      <c r="O78" s="72"/>
      <c r="P78" s="72"/>
      <c r="Q78" s="72"/>
      <c r="R78" s="72"/>
      <c r="S78" s="122"/>
      <c r="T78" s="72"/>
      <c r="U78" s="72"/>
      <c r="V78" s="122"/>
      <c r="W78" s="72"/>
      <c r="X78" s="72"/>
      <c r="Y78" s="122"/>
      <c r="Z78" s="72"/>
      <c r="AA78" s="72"/>
      <c r="AB78" s="122"/>
      <c r="AC78" s="72"/>
      <c r="AD78" s="72"/>
      <c r="AE78" s="122"/>
      <c r="AF78" s="73"/>
      <c r="AG78" s="73"/>
      <c r="AH78" s="123"/>
      <c r="AI78" s="72"/>
      <c r="AJ78" s="72"/>
      <c r="AK78" s="122"/>
      <c r="AL78" s="72"/>
      <c r="AM78" s="72"/>
      <c r="AN78" s="122"/>
      <c r="AO78" s="72"/>
      <c r="AP78" s="72"/>
      <c r="AQ78" s="122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</row>
    <row r="79" spans="1:58" x14ac:dyDescent="0.35">
      <c r="A79" s="119"/>
      <c r="B79" s="126"/>
      <c r="C79" s="80"/>
      <c r="D79" s="72"/>
      <c r="E79" s="72"/>
      <c r="F79" s="72"/>
      <c r="G79" s="118"/>
      <c r="H79" s="72"/>
      <c r="I79" s="72"/>
      <c r="J79" s="118"/>
      <c r="K79" s="72"/>
      <c r="L79" s="72"/>
      <c r="M79" s="72"/>
      <c r="N79" s="72"/>
      <c r="O79" s="72"/>
      <c r="P79" s="72"/>
      <c r="Q79" s="93"/>
      <c r="R79" s="93"/>
      <c r="S79" s="118"/>
      <c r="T79" s="72"/>
      <c r="U79" s="72"/>
      <c r="V79" s="118"/>
      <c r="W79" s="72"/>
      <c r="X79" s="72"/>
      <c r="Y79" s="118"/>
      <c r="Z79" s="72"/>
      <c r="AA79" s="72"/>
      <c r="AB79" s="118"/>
      <c r="AC79" s="72"/>
      <c r="AD79" s="72"/>
      <c r="AE79" s="118"/>
      <c r="AF79" s="72"/>
      <c r="AG79" s="73"/>
      <c r="AH79" s="121"/>
      <c r="AI79" s="72"/>
      <c r="AJ79" s="72"/>
      <c r="AK79" s="118"/>
      <c r="AL79" s="72"/>
      <c r="AM79" s="72"/>
      <c r="AN79" s="118"/>
      <c r="AO79" s="72"/>
      <c r="AP79" s="72"/>
      <c r="AQ79" s="118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</row>
    <row r="80" spans="1:58" x14ac:dyDescent="0.35">
      <c r="A80" s="119"/>
      <c r="B80" s="126"/>
      <c r="C80" s="80"/>
      <c r="D80" s="72"/>
      <c r="E80" s="72"/>
      <c r="F80" s="72"/>
      <c r="G80" s="118"/>
      <c r="H80" s="72"/>
      <c r="I80" s="72"/>
      <c r="J80" s="118"/>
      <c r="K80" s="72"/>
      <c r="L80" s="72"/>
      <c r="M80" s="72"/>
      <c r="N80" s="72"/>
      <c r="O80" s="72"/>
      <c r="P80" s="72"/>
      <c r="Q80" s="72"/>
      <c r="R80" s="72"/>
      <c r="S80" s="118"/>
      <c r="T80" s="72"/>
      <c r="U80" s="72"/>
      <c r="V80" s="118"/>
      <c r="W80" s="72"/>
      <c r="X80" s="72"/>
      <c r="Y80" s="118"/>
      <c r="Z80" s="72"/>
      <c r="AA80" s="72"/>
      <c r="AB80" s="118"/>
      <c r="AC80" s="72"/>
      <c r="AD80" s="72"/>
      <c r="AE80" s="118"/>
      <c r="AF80" s="72"/>
      <c r="AG80" s="72"/>
      <c r="AH80" s="121"/>
      <c r="AI80" s="72"/>
      <c r="AJ80" s="72"/>
      <c r="AK80" s="118"/>
      <c r="AL80" s="72"/>
      <c r="AM80" s="72"/>
      <c r="AN80" s="118"/>
      <c r="AO80" s="72"/>
      <c r="AP80" s="72"/>
      <c r="AQ80" s="118"/>
      <c r="AR80" s="70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70"/>
      <c r="BF80" s="70"/>
    </row>
    <row r="81" spans="1:58" x14ac:dyDescent="0.35">
      <c r="A81" s="119"/>
      <c r="B81" s="126"/>
      <c r="C81" s="80"/>
      <c r="D81" s="72"/>
      <c r="E81" s="72"/>
      <c r="F81" s="72"/>
      <c r="G81" s="118"/>
      <c r="H81" s="72"/>
      <c r="I81" s="72"/>
      <c r="J81" s="118"/>
      <c r="K81" s="72"/>
      <c r="L81" s="72"/>
      <c r="M81" s="72"/>
      <c r="N81" s="72"/>
      <c r="O81" s="72"/>
      <c r="P81" s="72"/>
      <c r="Q81" s="72"/>
      <c r="R81" s="72"/>
      <c r="S81" s="118"/>
      <c r="T81" s="72"/>
      <c r="U81" s="72"/>
      <c r="V81" s="118"/>
      <c r="W81" s="72"/>
      <c r="X81" s="72"/>
      <c r="Y81" s="118"/>
      <c r="Z81" s="72"/>
      <c r="AA81" s="72"/>
      <c r="AB81" s="118"/>
      <c r="AC81" s="72"/>
      <c r="AD81" s="72"/>
      <c r="AE81" s="118"/>
      <c r="AF81" s="72"/>
      <c r="AG81" s="72"/>
      <c r="AH81" s="121"/>
      <c r="AI81" s="72"/>
      <c r="AJ81" s="72"/>
      <c r="AK81" s="118"/>
      <c r="AL81" s="72"/>
      <c r="AM81" s="72"/>
      <c r="AN81" s="118"/>
      <c r="AO81" s="72"/>
      <c r="AP81" s="72"/>
      <c r="AQ81" s="118"/>
      <c r="AR81" s="70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70"/>
      <c r="BF81" s="70"/>
    </row>
    <row r="82" spans="1:58" x14ac:dyDescent="0.35">
      <c r="A82" s="119"/>
      <c r="B82" s="126"/>
      <c r="C82" s="80"/>
      <c r="D82" s="72"/>
      <c r="E82" s="72"/>
      <c r="F82" s="72"/>
      <c r="G82" s="118"/>
      <c r="H82" s="72"/>
      <c r="I82" s="72"/>
      <c r="J82" s="118"/>
      <c r="K82" s="72"/>
      <c r="L82" s="72"/>
      <c r="M82" s="72"/>
      <c r="N82" s="72"/>
      <c r="O82" s="72"/>
      <c r="P82" s="72"/>
      <c r="Q82" s="72"/>
      <c r="R82" s="72"/>
      <c r="S82" s="118"/>
      <c r="T82" s="72"/>
      <c r="U82" s="72"/>
      <c r="V82" s="118"/>
      <c r="W82" s="72"/>
      <c r="X82" s="72"/>
      <c r="Y82" s="118"/>
      <c r="Z82" s="72"/>
      <c r="AA82" s="72"/>
      <c r="AB82" s="118"/>
      <c r="AC82" s="72"/>
      <c r="AD82" s="72"/>
      <c r="AE82" s="118"/>
      <c r="AF82" s="72"/>
      <c r="AG82" s="72"/>
      <c r="AH82" s="121"/>
      <c r="AI82" s="72"/>
      <c r="AJ82" s="72"/>
      <c r="AK82" s="118"/>
      <c r="AL82" s="72"/>
      <c r="AM82" s="72"/>
      <c r="AN82" s="118"/>
      <c r="AO82" s="72"/>
      <c r="AP82" s="72"/>
      <c r="AQ82" s="118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</row>
    <row r="83" spans="1:58" x14ac:dyDescent="0.35">
      <c r="A83" s="119"/>
      <c r="B83" s="126"/>
      <c r="C83" s="80"/>
      <c r="D83" s="72"/>
      <c r="E83" s="72"/>
      <c r="F83" s="72"/>
      <c r="G83" s="118"/>
      <c r="H83" s="72"/>
      <c r="I83" s="72"/>
      <c r="J83" s="118"/>
      <c r="K83" s="72"/>
      <c r="L83" s="72"/>
      <c r="M83" s="72"/>
      <c r="N83" s="72"/>
      <c r="O83" s="72"/>
      <c r="P83" s="72"/>
      <c r="Q83" s="72"/>
      <c r="R83" s="72"/>
      <c r="S83" s="118"/>
      <c r="T83" s="72"/>
      <c r="U83" s="72"/>
      <c r="V83" s="118"/>
      <c r="W83" s="72"/>
      <c r="X83" s="72"/>
      <c r="Y83" s="118"/>
      <c r="Z83" s="72"/>
      <c r="AA83" s="72"/>
      <c r="AB83" s="118"/>
      <c r="AC83" s="72"/>
      <c r="AD83" s="72"/>
      <c r="AE83" s="118"/>
      <c r="AF83" s="72"/>
      <c r="AG83" s="72"/>
      <c r="AH83" s="121"/>
      <c r="AI83" s="72"/>
      <c r="AJ83" s="72"/>
      <c r="AK83" s="118"/>
      <c r="AL83" s="72"/>
      <c r="AM83" s="72"/>
      <c r="AN83" s="118"/>
      <c r="AO83" s="72"/>
      <c r="AP83" s="72"/>
      <c r="AQ83" s="118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</row>
    <row r="84" spans="1:58" x14ac:dyDescent="0.35">
      <c r="A84" s="119"/>
      <c r="B84" s="126"/>
      <c r="C84" s="80"/>
      <c r="D84" s="72"/>
      <c r="E84" s="72"/>
      <c r="F84" s="72"/>
      <c r="G84" s="118"/>
      <c r="H84" s="72"/>
      <c r="I84" s="72"/>
      <c r="J84" s="118"/>
      <c r="K84" s="72"/>
      <c r="L84" s="72"/>
      <c r="M84" s="72"/>
      <c r="N84" s="72"/>
      <c r="O84" s="72"/>
      <c r="P84" s="72"/>
      <c r="Q84" s="73"/>
      <c r="R84" s="72"/>
      <c r="S84" s="118"/>
      <c r="T84" s="72"/>
      <c r="U84" s="72"/>
      <c r="V84" s="118"/>
      <c r="W84" s="72"/>
      <c r="X84" s="72"/>
      <c r="Y84" s="118"/>
      <c r="Z84" s="72"/>
      <c r="AA84" s="72"/>
      <c r="AB84" s="118"/>
      <c r="AC84" s="72"/>
      <c r="AD84" s="72"/>
      <c r="AE84" s="118"/>
      <c r="AF84" s="72"/>
      <c r="AG84" s="72"/>
      <c r="AH84" s="121"/>
      <c r="AI84" s="72"/>
      <c r="AJ84" s="72"/>
      <c r="AK84" s="118"/>
      <c r="AL84" s="72"/>
      <c r="AM84" s="72"/>
      <c r="AN84" s="118"/>
      <c r="AO84" s="72"/>
      <c r="AP84" s="72"/>
      <c r="AQ84" s="118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</row>
    <row r="85" spans="1:58" x14ac:dyDescent="0.35">
      <c r="A85" s="119"/>
      <c r="B85" s="126"/>
      <c r="C85" s="80"/>
      <c r="D85" s="72"/>
      <c r="E85" s="72"/>
      <c r="F85" s="72"/>
      <c r="G85" s="118"/>
      <c r="H85" s="72"/>
      <c r="I85" s="72"/>
      <c r="J85" s="118"/>
      <c r="K85" s="72"/>
      <c r="L85" s="72"/>
      <c r="M85" s="72"/>
      <c r="N85" s="72"/>
      <c r="O85" s="72"/>
      <c r="P85" s="72"/>
      <c r="Q85" s="72"/>
      <c r="R85" s="73"/>
      <c r="S85" s="118"/>
      <c r="T85" s="72"/>
      <c r="U85" s="72"/>
      <c r="V85" s="118"/>
      <c r="W85" s="72"/>
      <c r="X85" s="72"/>
      <c r="Y85" s="118"/>
      <c r="Z85" s="72"/>
      <c r="AA85" s="72"/>
      <c r="AB85" s="118"/>
      <c r="AC85" s="72"/>
      <c r="AD85" s="72"/>
      <c r="AE85" s="118"/>
      <c r="AF85" s="72"/>
      <c r="AG85" s="72"/>
      <c r="AH85" s="121"/>
      <c r="AI85" s="72"/>
      <c r="AJ85" s="72"/>
      <c r="AK85" s="118"/>
      <c r="AL85" s="72"/>
      <c r="AM85" s="72"/>
      <c r="AN85" s="118"/>
      <c r="AO85" s="72"/>
      <c r="AP85" s="72"/>
      <c r="AQ85" s="118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</row>
    <row r="86" spans="1:58" ht="17.25" thickBot="1" x14ac:dyDescent="0.4">
      <c r="A86" s="119"/>
      <c r="B86" s="124"/>
      <c r="C86" s="80"/>
      <c r="D86" s="72"/>
      <c r="E86" s="72"/>
      <c r="F86" s="72"/>
      <c r="G86" s="121"/>
      <c r="H86" s="72"/>
      <c r="I86" s="72"/>
      <c r="J86" s="121"/>
      <c r="K86" s="73"/>
      <c r="L86" s="73"/>
      <c r="M86" s="73"/>
      <c r="N86" s="73"/>
      <c r="O86" s="73"/>
      <c r="P86" s="73"/>
      <c r="Q86" s="72"/>
      <c r="R86" s="72"/>
      <c r="S86" s="121"/>
      <c r="T86" s="72"/>
      <c r="U86" s="72"/>
      <c r="V86" s="121"/>
      <c r="W86" s="72"/>
      <c r="X86" s="72"/>
      <c r="Y86" s="118"/>
      <c r="Z86" s="72"/>
      <c r="AA86" s="72"/>
      <c r="AB86" s="121"/>
      <c r="AC86" s="72"/>
      <c r="AD86" s="72"/>
      <c r="AE86" s="121"/>
      <c r="AF86" s="72"/>
      <c r="AG86" s="72"/>
      <c r="AH86" s="121"/>
      <c r="AI86" s="72"/>
      <c r="AJ86" s="72"/>
      <c r="AK86" s="121"/>
      <c r="AL86" s="72"/>
      <c r="AM86" s="72"/>
      <c r="AN86" s="121"/>
      <c r="AO86" s="72"/>
      <c r="AP86" s="72"/>
      <c r="AQ86" s="118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</row>
    <row r="87" spans="1:58" ht="30" x14ac:dyDescent="0.35">
      <c r="A87" s="119"/>
      <c r="B87" s="124"/>
      <c r="C87" s="80"/>
      <c r="D87" s="72"/>
      <c r="E87" s="72"/>
      <c r="F87" s="72"/>
      <c r="G87" s="121"/>
      <c r="H87" s="72"/>
      <c r="I87" s="72"/>
      <c r="J87" s="121"/>
      <c r="K87" s="73"/>
      <c r="L87" s="73"/>
      <c r="M87" s="73"/>
      <c r="N87" s="73"/>
      <c r="O87" s="73"/>
      <c r="P87" s="73"/>
      <c r="Q87" s="72"/>
      <c r="R87" s="72"/>
      <c r="S87" s="121"/>
      <c r="T87" s="72"/>
      <c r="U87" s="72"/>
      <c r="V87" s="121"/>
      <c r="W87" s="72"/>
      <c r="X87" s="72"/>
      <c r="Y87" s="118"/>
      <c r="Z87" s="72"/>
      <c r="AA87" s="72"/>
      <c r="AB87" s="121"/>
      <c r="AC87" s="72"/>
      <c r="AD87" s="72"/>
      <c r="AE87" s="121"/>
      <c r="AF87" s="72"/>
      <c r="AG87" s="72"/>
      <c r="AH87" s="121"/>
      <c r="AI87" s="72"/>
      <c r="AJ87" s="72"/>
      <c r="AK87" s="121"/>
      <c r="AL87" s="72"/>
      <c r="AM87" s="72"/>
      <c r="AN87" s="121"/>
      <c r="AO87" s="72"/>
      <c r="AP87" s="72"/>
      <c r="AQ87" s="118"/>
      <c r="AR87" s="70"/>
      <c r="AS87" s="94"/>
      <c r="AT87" s="87" t="s">
        <v>4</v>
      </c>
      <c r="AU87" s="87" t="s">
        <v>5</v>
      </c>
      <c r="AV87" s="87" t="s">
        <v>6</v>
      </c>
      <c r="AW87" s="87" t="s">
        <v>7</v>
      </c>
      <c r="AX87" s="87" t="s">
        <v>8</v>
      </c>
      <c r="AY87" s="87" t="s">
        <v>9</v>
      </c>
      <c r="AZ87" s="87" t="s">
        <v>10</v>
      </c>
      <c r="BA87" s="87" t="s">
        <v>11</v>
      </c>
      <c r="BB87" s="87" t="s">
        <v>12</v>
      </c>
      <c r="BC87" s="87" t="s">
        <v>13</v>
      </c>
      <c r="BD87" s="88" t="s">
        <v>14</v>
      </c>
      <c r="BE87" s="70"/>
      <c r="BF87" s="70"/>
    </row>
    <row r="88" spans="1:58" x14ac:dyDescent="0.35">
      <c r="A88" s="119"/>
      <c r="B88" s="124"/>
      <c r="C88" s="80"/>
      <c r="D88" s="72"/>
      <c r="E88" s="72"/>
      <c r="F88" s="72"/>
      <c r="G88" s="121"/>
      <c r="H88" s="72"/>
      <c r="I88" s="72"/>
      <c r="J88" s="121"/>
      <c r="K88" s="73"/>
      <c r="L88" s="73"/>
      <c r="M88" s="73"/>
      <c r="N88" s="73"/>
      <c r="O88" s="73"/>
      <c r="P88" s="73"/>
      <c r="Q88" s="72"/>
      <c r="R88" s="72"/>
      <c r="S88" s="121"/>
      <c r="T88" s="72"/>
      <c r="U88" s="72"/>
      <c r="V88" s="121"/>
      <c r="W88" s="72"/>
      <c r="X88" s="72"/>
      <c r="Y88" s="118"/>
      <c r="Z88" s="72"/>
      <c r="AA88" s="72"/>
      <c r="AB88" s="121"/>
      <c r="AC88" s="72"/>
      <c r="AD88" s="72"/>
      <c r="AE88" s="121"/>
      <c r="AF88" s="72"/>
      <c r="AG88" s="72"/>
      <c r="AH88" s="121"/>
      <c r="AI88" s="72"/>
      <c r="AJ88" s="72"/>
      <c r="AK88" s="121"/>
      <c r="AL88" s="72"/>
      <c r="AM88" s="72"/>
      <c r="AN88" s="121"/>
      <c r="AO88" s="72"/>
      <c r="AP88" s="72"/>
      <c r="AQ88" s="118"/>
      <c r="AR88" s="70"/>
      <c r="AS88" s="89" t="s">
        <v>350</v>
      </c>
      <c r="AT88" s="70">
        <v>0</v>
      </c>
      <c r="AU88" s="70">
        <v>3</v>
      </c>
      <c r="AV88" s="70">
        <v>3</v>
      </c>
      <c r="AW88" s="70">
        <v>0</v>
      </c>
      <c r="AX88" s="70">
        <v>0.5</v>
      </c>
      <c r="AY88" s="70">
        <v>1.5</v>
      </c>
      <c r="AZ88" s="70">
        <v>1.5</v>
      </c>
      <c r="BA88" s="70">
        <v>1</v>
      </c>
      <c r="BB88" s="70">
        <v>0</v>
      </c>
      <c r="BC88" s="70">
        <v>0</v>
      </c>
      <c r="BD88" s="95">
        <v>1.5</v>
      </c>
      <c r="BE88" s="70"/>
      <c r="BF88" s="70"/>
    </row>
    <row r="89" spans="1:58" x14ac:dyDescent="0.35">
      <c r="A89" s="119"/>
      <c r="B89" s="120"/>
      <c r="C89" s="80"/>
      <c r="D89" s="72"/>
      <c r="E89" s="73"/>
      <c r="F89" s="72"/>
      <c r="G89" s="118"/>
      <c r="H89" s="73"/>
      <c r="I89" s="72"/>
      <c r="J89" s="118"/>
      <c r="K89" s="72"/>
      <c r="L89" s="72"/>
      <c r="M89" s="72"/>
      <c r="N89" s="72"/>
      <c r="O89" s="72"/>
      <c r="P89" s="72"/>
      <c r="Q89" s="73"/>
      <c r="R89" s="73"/>
      <c r="S89" s="118"/>
      <c r="T89" s="110"/>
      <c r="U89" s="73"/>
      <c r="V89" s="118"/>
      <c r="W89" s="73"/>
      <c r="X89" s="73"/>
      <c r="Y89" s="118"/>
      <c r="Z89" s="72"/>
      <c r="AA89" s="72"/>
      <c r="AB89" s="118"/>
      <c r="AC89" s="72"/>
      <c r="AD89" s="72"/>
      <c r="AE89" s="118"/>
      <c r="AF89" s="73"/>
      <c r="AG89" s="73"/>
      <c r="AH89" s="118"/>
      <c r="AI89" s="72"/>
      <c r="AJ89" s="73"/>
      <c r="AK89" s="118"/>
      <c r="AL89" s="73"/>
      <c r="AM89" s="73"/>
      <c r="AN89" s="118"/>
      <c r="AO89" s="72"/>
      <c r="AP89" s="72"/>
      <c r="AQ89" s="118"/>
      <c r="AR89" s="70"/>
      <c r="AS89" s="89" t="s">
        <v>333</v>
      </c>
      <c r="AT89" s="70">
        <v>0.6</v>
      </c>
      <c r="AU89" s="70">
        <v>2</v>
      </c>
      <c r="AV89" s="70">
        <v>2</v>
      </c>
      <c r="AW89" s="70">
        <v>0.6</v>
      </c>
      <c r="AX89" s="70">
        <v>0.6</v>
      </c>
      <c r="AY89" s="70">
        <v>1.3</v>
      </c>
      <c r="AZ89" s="70">
        <v>0.9</v>
      </c>
      <c r="BA89" s="70">
        <v>0.7</v>
      </c>
      <c r="BB89" s="70">
        <v>1.7</v>
      </c>
      <c r="BC89" s="70">
        <v>0.4</v>
      </c>
      <c r="BD89" s="95">
        <v>1.3</v>
      </c>
      <c r="BE89" s="70"/>
      <c r="BF89" s="70"/>
    </row>
    <row r="90" spans="1:58" x14ac:dyDescent="0.35">
      <c r="A90" s="119"/>
      <c r="B90" s="120"/>
      <c r="C90" s="80"/>
      <c r="D90" s="72"/>
      <c r="E90" s="72"/>
      <c r="F90" s="72"/>
      <c r="G90" s="118"/>
      <c r="H90" s="73"/>
      <c r="I90" s="72"/>
      <c r="J90" s="118"/>
      <c r="K90" s="72"/>
      <c r="L90" s="72"/>
      <c r="M90" s="72"/>
      <c r="N90" s="72"/>
      <c r="O90" s="72"/>
      <c r="P90" s="72"/>
      <c r="Q90" s="72"/>
      <c r="R90" s="72"/>
      <c r="S90" s="118"/>
      <c r="T90" s="72"/>
      <c r="U90" s="72"/>
      <c r="V90" s="118"/>
      <c r="W90" s="72"/>
      <c r="X90" s="72"/>
      <c r="Y90" s="118"/>
      <c r="Z90" s="72"/>
      <c r="AA90" s="72"/>
      <c r="AB90" s="118"/>
      <c r="AC90" s="72"/>
      <c r="AD90" s="72"/>
      <c r="AE90" s="118"/>
      <c r="AF90" s="72"/>
      <c r="AG90" s="72"/>
      <c r="AH90" s="118"/>
      <c r="AI90" s="72"/>
      <c r="AJ90" s="72"/>
      <c r="AK90" s="118"/>
      <c r="AL90" s="72"/>
      <c r="AM90" s="72"/>
      <c r="AN90" s="118"/>
      <c r="AO90" s="72"/>
      <c r="AP90" s="72"/>
      <c r="AQ90" s="118"/>
      <c r="AR90" s="70"/>
      <c r="AS90" s="89" t="s">
        <v>355</v>
      </c>
      <c r="AT90" s="70">
        <v>0</v>
      </c>
      <c r="AU90" s="70">
        <v>0.8</v>
      </c>
      <c r="AV90" s="70">
        <v>2.5</v>
      </c>
      <c r="AW90" s="70">
        <v>0.4</v>
      </c>
      <c r="AX90" s="70">
        <v>0.4</v>
      </c>
      <c r="AY90" s="70">
        <v>1.3</v>
      </c>
      <c r="AZ90" s="70">
        <v>1</v>
      </c>
      <c r="BA90" s="70">
        <v>1.1000000000000001</v>
      </c>
      <c r="BB90" s="70">
        <v>0.4</v>
      </c>
      <c r="BC90" s="70">
        <v>0</v>
      </c>
      <c r="BD90" s="95">
        <v>0.4</v>
      </c>
      <c r="BE90" s="70"/>
      <c r="BF90" s="70"/>
    </row>
    <row r="91" spans="1:58" x14ac:dyDescent="0.35">
      <c r="A91" s="119"/>
      <c r="B91" s="120"/>
      <c r="C91" s="80"/>
      <c r="D91" s="72"/>
      <c r="E91" s="72"/>
      <c r="F91" s="72"/>
      <c r="G91" s="118"/>
      <c r="H91" s="72"/>
      <c r="I91" s="72"/>
      <c r="J91" s="118"/>
      <c r="K91" s="72"/>
      <c r="L91" s="72"/>
      <c r="M91" s="72"/>
      <c r="N91" s="72"/>
      <c r="O91" s="72"/>
      <c r="P91" s="72"/>
      <c r="Q91" s="73"/>
      <c r="R91" s="73"/>
      <c r="S91" s="118"/>
      <c r="T91" s="110"/>
      <c r="U91" s="73"/>
      <c r="V91" s="118"/>
      <c r="W91" s="72"/>
      <c r="X91" s="72"/>
      <c r="Y91" s="118"/>
      <c r="Z91" s="72"/>
      <c r="AA91" s="72"/>
      <c r="AB91" s="118"/>
      <c r="AC91" s="72"/>
      <c r="AD91" s="72"/>
      <c r="AE91" s="118"/>
      <c r="AF91" s="72"/>
      <c r="AG91" s="72"/>
      <c r="AH91" s="118"/>
      <c r="AI91" s="72"/>
      <c r="AJ91" s="72"/>
      <c r="AK91" s="118"/>
      <c r="AL91" s="72"/>
      <c r="AM91" s="72"/>
      <c r="AN91" s="118"/>
      <c r="AO91" s="72"/>
      <c r="AP91" s="72"/>
      <c r="AQ91" s="118"/>
      <c r="AR91" s="70"/>
      <c r="AS91" s="89" t="s">
        <v>24</v>
      </c>
      <c r="AT91" s="70">
        <v>2</v>
      </c>
      <c r="AU91" s="70">
        <v>0.7</v>
      </c>
      <c r="AV91" s="70">
        <v>0.7</v>
      </c>
      <c r="AW91" s="70">
        <v>0.3</v>
      </c>
      <c r="AX91" s="70">
        <v>0</v>
      </c>
      <c r="AY91" s="70">
        <v>1.3</v>
      </c>
      <c r="AZ91" s="70">
        <v>0.3</v>
      </c>
      <c r="BA91" s="70">
        <v>0.7</v>
      </c>
      <c r="BB91" s="70">
        <v>2.2999999999999998</v>
      </c>
      <c r="BC91" s="70">
        <v>1</v>
      </c>
      <c r="BD91" s="95">
        <v>2</v>
      </c>
      <c r="BE91" s="70"/>
      <c r="BF91" s="70"/>
    </row>
    <row r="92" spans="1:58" ht="17.25" thickBot="1" x14ac:dyDescent="0.4">
      <c r="A92" s="119" t="s">
        <v>408</v>
      </c>
      <c r="B92" s="80" t="s">
        <v>409</v>
      </c>
      <c r="C92" s="80"/>
      <c r="D92" s="72" t="s">
        <v>2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0"/>
      <c r="AS92" s="96" t="s">
        <v>361</v>
      </c>
      <c r="AT92" s="97">
        <v>0.3</v>
      </c>
      <c r="AU92" s="97">
        <v>1.7</v>
      </c>
      <c r="AV92" s="97">
        <v>1.3</v>
      </c>
      <c r="AW92" s="97">
        <v>0.7</v>
      </c>
      <c r="AX92" s="97">
        <v>1.3</v>
      </c>
      <c r="AY92" s="97">
        <v>1</v>
      </c>
      <c r="AZ92" s="97">
        <v>1</v>
      </c>
      <c r="BA92" s="97">
        <v>0.7</v>
      </c>
      <c r="BB92" s="97">
        <v>2</v>
      </c>
      <c r="BC92" s="97">
        <v>0.3</v>
      </c>
      <c r="BD92" s="98">
        <v>0</v>
      </c>
      <c r="BE92" s="70"/>
      <c r="BF92" s="70"/>
    </row>
    <row r="93" spans="1:58" x14ac:dyDescent="0.35">
      <c r="A93" s="119"/>
      <c r="B93" s="80" t="s">
        <v>410</v>
      </c>
      <c r="C93" s="80"/>
      <c r="D93" s="72" t="s">
        <v>2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0"/>
      <c r="AS93" s="92" t="s">
        <v>382</v>
      </c>
      <c r="AT93" s="92">
        <v>0.57999999999999996</v>
      </c>
      <c r="AU93" s="92">
        <v>1.64</v>
      </c>
      <c r="AV93" s="92">
        <v>1.9</v>
      </c>
      <c r="AW93" s="92">
        <v>0.4</v>
      </c>
      <c r="AX93" s="92">
        <v>0.56000000000000005</v>
      </c>
      <c r="AY93" s="92">
        <v>1.28</v>
      </c>
      <c r="AZ93" s="92">
        <v>0.94</v>
      </c>
      <c r="BA93" s="92">
        <v>0.84</v>
      </c>
      <c r="BB93" s="92">
        <v>1.28</v>
      </c>
      <c r="BC93" s="92">
        <v>0.34</v>
      </c>
      <c r="BD93" s="92">
        <v>1.04</v>
      </c>
      <c r="BE93" s="70"/>
      <c r="BF93" s="70"/>
    </row>
    <row r="94" spans="1:58" ht="30" x14ac:dyDescent="0.35">
      <c r="A94" s="119"/>
      <c r="B94" s="80" t="s">
        <v>411</v>
      </c>
      <c r="C94" s="80"/>
      <c r="D94" s="72" t="s">
        <v>2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</row>
    <row r="95" spans="1:58" x14ac:dyDescent="0.35">
      <c r="A95" s="119"/>
      <c r="B95" s="80" t="s">
        <v>412</v>
      </c>
      <c r="C95" s="80"/>
      <c r="D95" s="72" t="s">
        <v>2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</row>
    <row r="96" spans="1:58" x14ac:dyDescent="0.35">
      <c r="A96" s="119"/>
      <c r="B96" s="80" t="s">
        <v>413</v>
      </c>
      <c r="C96" s="80"/>
      <c r="D96" s="72" t="s">
        <v>2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</row>
    <row r="97" spans="1:58" x14ac:dyDescent="0.35">
      <c r="A97" s="119"/>
      <c r="B97" s="80" t="s">
        <v>414</v>
      </c>
      <c r="C97" s="80"/>
      <c r="D97" s="72" t="s">
        <v>2</v>
      </c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</row>
    <row r="98" spans="1:58" x14ac:dyDescent="0.35">
      <c r="A98" s="70"/>
      <c r="B98" s="70"/>
      <c r="C98" s="70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</row>
    <row r="99" spans="1:58" x14ac:dyDescent="0.35">
      <c r="A99" s="70"/>
      <c r="B99" s="70"/>
      <c r="C99" s="70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</row>
    <row r="100" spans="1:58" x14ac:dyDescent="0.35">
      <c r="A100" s="70"/>
      <c r="B100" s="70"/>
      <c r="C100" s="70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</row>
    <row r="101" spans="1:58" x14ac:dyDescent="0.35">
      <c r="A101" s="70" t="s">
        <v>639</v>
      </c>
      <c r="B101" s="112">
        <v>46218</v>
      </c>
      <c r="C101" s="70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</row>
    <row r="102" spans="1:58" x14ac:dyDescent="0.35">
      <c r="A102" s="70"/>
      <c r="B102" s="70"/>
      <c r="C102" s="70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</row>
    <row r="103" spans="1:58" x14ac:dyDescent="0.35">
      <c r="A103" s="70"/>
      <c r="B103" s="70"/>
      <c r="C103" s="70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</row>
    <row r="104" spans="1:58" x14ac:dyDescent="0.35">
      <c r="A104" s="70"/>
      <c r="B104" s="70"/>
      <c r="C104" s="70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</row>
    <row r="105" spans="1:58" x14ac:dyDescent="0.35">
      <c r="A105" s="70"/>
      <c r="B105" s="70"/>
      <c r="C105" s="70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</row>
    <row r="106" spans="1:58" x14ac:dyDescent="0.35">
      <c r="A106" s="70"/>
      <c r="B106" s="70"/>
      <c r="C106" s="70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</row>
    <row r="107" spans="1:58" x14ac:dyDescent="0.35">
      <c r="A107" s="70"/>
      <c r="B107" s="70"/>
      <c r="C107" s="70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</row>
    <row r="108" spans="1:58" x14ac:dyDescent="0.35">
      <c r="A108" s="70"/>
      <c r="B108" s="70"/>
      <c r="C108" s="70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</row>
    <row r="109" spans="1:58" x14ac:dyDescent="0.35">
      <c r="A109" s="70"/>
      <c r="B109" s="70"/>
      <c r="C109" s="70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</row>
    <row r="110" spans="1:58" x14ac:dyDescent="0.35">
      <c r="A110" s="70"/>
      <c r="B110" s="70"/>
      <c r="C110" s="70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</row>
    <row r="111" spans="1:58" x14ac:dyDescent="0.35">
      <c r="A111" s="70"/>
      <c r="B111" s="70"/>
      <c r="C111" s="70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</row>
    <row r="112" spans="1:58" x14ac:dyDescent="0.35">
      <c r="A112" s="70"/>
      <c r="B112" s="70"/>
      <c r="C112" s="70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  <c r="BD112" s="70"/>
      <c r="BE112" s="70"/>
      <c r="BF112" s="70"/>
    </row>
    <row r="113" spans="1:58" x14ac:dyDescent="0.35">
      <c r="A113" s="70"/>
      <c r="B113" s="70"/>
      <c r="C113" s="70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</row>
    <row r="114" spans="1:58" x14ac:dyDescent="0.35">
      <c r="A114" s="70"/>
      <c r="B114" s="70"/>
      <c r="C114" s="70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</row>
    <row r="115" spans="1:58" x14ac:dyDescent="0.35">
      <c r="A115" s="70"/>
      <c r="B115" s="70"/>
      <c r="C115" s="70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</row>
    <row r="116" spans="1:58" x14ac:dyDescent="0.35">
      <c r="A116" s="70"/>
      <c r="B116" s="70"/>
      <c r="C116" s="70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</row>
    <row r="117" spans="1:58" x14ac:dyDescent="0.35">
      <c r="A117" s="70"/>
      <c r="B117" s="70"/>
      <c r="C117" s="70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  <c r="BD117" s="70"/>
      <c r="BE117" s="70"/>
      <c r="BF117" s="70"/>
    </row>
    <row r="118" spans="1:58" x14ac:dyDescent="0.35">
      <c r="A118" s="70"/>
      <c r="B118" s="70"/>
      <c r="C118" s="70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  <c r="BD118" s="70"/>
      <c r="BE118" s="70"/>
      <c r="BF118" s="70"/>
    </row>
    <row r="119" spans="1:58" x14ac:dyDescent="0.35">
      <c r="A119" s="70"/>
      <c r="B119" s="70"/>
      <c r="C119" s="70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  <c r="BD119" s="70"/>
      <c r="BE119" s="70"/>
      <c r="BF119" s="70"/>
    </row>
    <row r="120" spans="1:58" x14ac:dyDescent="0.35">
      <c r="A120" s="70"/>
      <c r="B120" s="70"/>
      <c r="C120" s="70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</row>
    <row r="121" spans="1:58" x14ac:dyDescent="0.35">
      <c r="A121" s="70"/>
      <c r="B121" s="70"/>
      <c r="C121" s="70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</row>
    <row r="122" spans="1:58" x14ac:dyDescent="0.35">
      <c r="A122" s="70"/>
      <c r="B122" s="70"/>
      <c r="C122" s="70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  <c r="BD122" s="70"/>
      <c r="BE122" s="70"/>
      <c r="BF122" s="70"/>
    </row>
    <row r="123" spans="1:58" x14ac:dyDescent="0.35">
      <c r="A123" s="70"/>
      <c r="B123" s="70"/>
      <c r="C123" s="70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</row>
    <row r="124" spans="1:58" x14ac:dyDescent="0.35">
      <c r="A124" s="70"/>
      <c r="B124" s="70"/>
      <c r="C124" s="70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</row>
    <row r="125" spans="1:58" x14ac:dyDescent="0.35">
      <c r="A125" s="70"/>
      <c r="B125" s="70"/>
      <c r="C125" s="70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</row>
    <row r="126" spans="1:58" x14ac:dyDescent="0.35">
      <c r="A126" s="70"/>
      <c r="B126" s="70"/>
      <c r="C126" s="70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</row>
    <row r="127" spans="1:58" x14ac:dyDescent="0.35">
      <c r="A127" s="70"/>
      <c r="B127" s="70"/>
      <c r="C127" s="70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</row>
    <row r="128" spans="1:58" x14ac:dyDescent="0.35">
      <c r="A128" s="70"/>
      <c r="B128" s="70"/>
      <c r="C128" s="70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  <c r="BC128" s="70"/>
      <c r="BD128" s="70"/>
      <c r="BE128" s="70"/>
      <c r="BF128" s="70"/>
    </row>
    <row r="129" spans="1:58" x14ac:dyDescent="0.35">
      <c r="A129" s="70"/>
      <c r="B129" s="70"/>
      <c r="C129" s="70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70"/>
      <c r="BD129" s="70"/>
      <c r="BE129" s="70"/>
      <c r="BF129" s="70"/>
    </row>
  </sheetData>
  <mergeCells count="173">
    <mergeCell ref="AA1:AB1"/>
    <mergeCell ref="AD1:AE1"/>
    <mergeCell ref="AG1:AH1"/>
    <mergeCell ref="AJ1:AK1"/>
    <mergeCell ref="AM1:AN1"/>
    <mergeCell ref="AP1:AQ1"/>
    <mergeCell ref="F1:G1"/>
    <mergeCell ref="I1:J1"/>
    <mergeCell ref="R1:S1"/>
    <mergeCell ref="U1:V1"/>
    <mergeCell ref="X1:Y1"/>
    <mergeCell ref="O1:P1"/>
    <mergeCell ref="AN3:AN8"/>
    <mergeCell ref="AQ3:AQ8"/>
    <mergeCell ref="B9:B17"/>
    <mergeCell ref="G9:G17"/>
    <mergeCell ref="J9:J17"/>
    <mergeCell ref="S9:S17"/>
    <mergeCell ref="V9:V17"/>
    <mergeCell ref="Y9:Y17"/>
    <mergeCell ref="AB9:AB17"/>
    <mergeCell ref="Y3:Y8"/>
    <mergeCell ref="AB3:AB8"/>
    <mergeCell ref="AE3:AE8"/>
    <mergeCell ref="AH3:AH8"/>
    <mergeCell ref="AK3:AK8"/>
    <mergeCell ref="B3:B8"/>
    <mergeCell ref="G3:G8"/>
    <mergeCell ref="J3:J8"/>
    <mergeCell ref="S3:S8"/>
    <mergeCell ref="V3:V8"/>
    <mergeCell ref="AE9:AE17"/>
    <mergeCell ref="AH9:AH17"/>
    <mergeCell ref="AK9:AK17"/>
    <mergeCell ref="AK18:AK29"/>
    <mergeCell ref="AH46:AH57"/>
    <mergeCell ref="AK46:AK57"/>
    <mergeCell ref="AN46:AN57"/>
    <mergeCell ref="AQ46:AQ57"/>
    <mergeCell ref="Y46:Y57"/>
    <mergeCell ref="AB46:AB57"/>
    <mergeCell ref="AE46:AE57"/>
    <mergeCell ref="AN9:AN17"/>
    <mergeCell ref="AQ9:AQ17"/>
    <mergeCell ref="AB31:AB41"/>
    <mergeCell ref="AE31:AE41"/>
    <mergeCell ref="AH31:AH41"/>
    <mergeCell ref="AK31:AK41"/>
    <mergeCell ref="AN31:AN41"/>
    <mergeCell ref="AQ31:AQ41"/>
    <mergeCell ref="AN18:AN29"/>
    <mergeCell ref="AQ18:AQ29"/>
    <mergeCell ref="Y31:Y41"/>
    <mergeCell ref="S46:S57"/>
    <mergeCell ref="V46:V57"/>
    <mergeCell ref="B46:B57"/>
    <mergeCell ref="G46:G57"/>
    <mergeCell ref="J46:J57"/>
    <mergeCell ref="Y18:Y29"/>
    <mergeCell ref="AB18:AB29"/>
    <mergeCell ref="AE18:AE29"/>
    <mergeCell ref="AH18:AH29"/>
    <mergeCell ref="B18:B23"/>
    <mergeCell ref="G18:G29"/>
    <mergeCell ref="J18:J29"/>
    <mergeCell ref="S18:S29"/>
    <mergeCell ref="V18:V29"/>
    <mergeCell ref="B26:B29"/>
    <mergeCell ref="B30:B41"/>
    <mergeCell ref="G31:G41"/>
    <mergeCell ref="J31:J41"/>
    <mergeCell ref="S31:S41"/>
    <mergeCell ref="V31:V41"/>
    <mergeCell ref="AH58:AH63"/>
    <mergeCell ref="AK58:AK63"/>
    <mergeCell ref="AN58:AN63"/>
    <mergeCell ref="AH64:AH65"/>
    <mergeCell ref="AK64:AK65"/>
    <mergeCell ref="AN64:AN65"/>
    <mergeCell ref="AQ64:AQ65"/>
    <mergeCell ref="B58:B63"/>
    <mergeCell ref="G58:G63"/>
    <mergeCell ref="J58:J63"/>
    <mergeCell ref="S58:S63"/>
    <mergeCell ref="V58:V63"/>
    <mergeCell ref="G64:G65"/>
    <mergeCell ref="J64:J65"/>
    <mergeCell ref="S64:S65"/>
    <mergeCell ref="V64:V65"/>
    <mergeCell ref="Y64:Y65"/>
    <mergeCell ref="AB64:AB65"/>
    <mergeCell ref="AE64:AE65"/>
    <mergeCell ref="Y58:Y63"/>
    <mergeCell ref="AB58:AB63"/>
    <mergeCell ref="AE58:AE63"/>
    <mergeCell ref="B66:B68"/>
    <mergeCell ref="G66:G68"/>
    <mergeCell ref="J66:J68"/>
    <mergeCell ref="S66:S68"/>
    <mergeCell ref="V66:V68"/>
    <mergeCell ref="AQ66:AQ68"/>
    <mergeCell ref="A69:A91"/>
    <mergeCell ref="B69:B70"/>
    <mergeCell ref="G69:G70"/>
    <mergeCell ref="J69:J70"/>
    <mergeCell ref="S69:S70"/>
    <mergeCell ref="V69:V70"/>
    <mergeCell ref="Y69:Y70"/>
    <mergeCell ref="AB69:AB70"/>
    <mergeCell ref="Y66:Y68"/>
    <mergeCell ref="AB66:AB68"/>
    <mergeCell ref="AE66:AE68"/>
    <mergeCell ref="AH66:AH68"/>
    <mergeCell ref="AK66:AK68"/>
    <mergeCell ref="AN66:AN68"/>
    <mergeCell ref="A3:A68"/>
    <mergeCell ref="B42:B45"/>
    <mergeCell ref="AQ58:AQ63"/>
    <mergeCell ref="B64:B65"/>
    <mergeCell ref="Y71:Y77"/>
    <mergeCell ref="AB71:AB77"/>
    <mergeCell ref="AE69:AE70"/>
    <mergeCell ref="AH69:AH70"/>
    <mergeCell ref="AK69:AK70"/>
    <mergeCell ref="AN69:AN70"/>
    <mergeCell ref="AQ69:AQ70"/>
    <mergeCell ref="B71:B77"/>
    <mergeCell ref="G71:G77"/>
    <mergeCell ref="J71:J77"/>
    <mergeCell ref="S71:S77"/>
    <mergeCell ref="V71:V77"/>
    <mergeCell ref="AN71:AN77"/>
    <mergeCell ref="AQ71:AQ77"/>
    <mergeCell ref="AE71:AE77"/>
    <mergeCell ref="AH71:AH77"/>
    <mergeCell ref="AK71:AK77"/>
    <mergeCell ref="AE78:AE85"/>
    <mergeCell ref="AH78:AH85"/>
    <mergeCell ref="AK78:AK85"/>
    <mergeCell ref="AN78:AN85"/>
    <mergeCell ref="AQ78:AQ85"/>
    <mergeCell ref="B86:B88"/>
    <mergeCell ref="G86:G88"/>
    <mergeCell ref="J86:J88"/>
    <mergeCell ref="S86:S88"/>
    <mergeCell ref="V86:V88"/>
    <mergeCell ref="B78:B85"/>
    <mergeCell ref="G78:G85"/>
    <mergeCell ref="J78:J85"/>
    <mergeCell ref="S78:S85"/>
    <mergeCell ref="V78:V85"/>
    <mergeCell ref="Y78:Y85"/>
    <mergeCell ref="AB78:AB85"/>
    <mergeCell ref="AE89:AE91"/>
    <mergeCell ref="AH89:AH91"/>
    <mergeCell ref="AK89:AK91"/>
    <mergeCell ref="AN89:AN91"/>
    <mergeCell ref="AQ89:AQ91"/>
    <mergeCell ref="A92:A97"/>
    <mergeCell ref="AN86:AN88"/>
    <mergeCell ref="AQ86:AQ88"/>
    <mergeCell ref="B89:B91"/>
    <mergeCell ref="G89:G91"/>
    <mergeCell ref="J89:J91"/>
    <mergeCell ref="S89:S91"/>
    <mergeCell ref="V89:V91"/>
    <mergeCell ref="Y89:Y91"/>
    <mergeCell ref="AB89:AB91"/>
    <mergeCell ref="Y86:Y88"/>
    <mergeCell ref="AB86:AB88"/>
    <mergeCell ref="AE86:AE88"/>
    <mergeCell ref="AH86:AH88"/>
    <mergeCell ref="AK86:AK88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DE1A-C175-4E07-B5C9-9C68FCEBAC46}">
  <dimension ref="A1:BC129"/>
  <sheetViews>
    <sheetView zoomScaleNormal="100" workbookViewId="0">
      <pane xSplit="7" ySplit="1" topLeftCell="H11" activePane="bottomRight" state="frozen"/>
      <selection pane="topRight" activeCell="H1" sqref="H1"/>
      <selection pane="bottomLeft" activeCell="A2" sqref="A2"/>
      <selection pane="bottomRight" activeCell="Z55" sqref="Z55"/>
    </sheetView>
  </sheetViews>
  <sheetFormatPr defaultColWidth="9" defaultRowHeight="16.5" x14ac:dyDescent="0.35"/>
  <cols>
    <col min="1" max="1" width="13.28515625" style="9" customWidth="1"/>
    <col min="2" max="2" width="13.7109375" style="9" customWidth="1"/>
    <col min="3" max="3" width="31.85546875" style="9" customWidth="1"/>
    <col min="4" max="4" width="9" style="14"/>
    <col min="5" max="5" width="16.7109375" style="14" customWidth="1"/>
    <col min="6" max="6" width="4.42578125" style="14" bestFit="1" customWidth="1"/>
    <col min="7" max="7" width="4.42578125" style="14" customWidth="1"/>
    <col min="8" max="8" width="15.85546875" style="14" customWidth="1"/>
    <col min="9" max="9" width="4.42578125" style="14" bestFit="1" customWidth="1"/>
    <col min="10" max="10" width="4.42578125" style="14" customWidth="1"/>
    <col min="11" max="11" width="17.28515625" style="14" customWidth="1"/>
    <col min="12" max="13" width="4.42578125" style="14" customWidth="1"/>
    <col min="14" max="14" width="14.5703125" style="14" customWidth="1"/>
    <col min="15" max="16" width="4.42578125" style="14" customWidth="1"/>
    <col min="17" max="17" width="17" style="9" customWidth="1"/>
    <col min="18" max="18" width="4.42578125" style="9" bestFit="1" customWidth="1"/>
    <col min="19" max="19" width="4.42578125" style="9" customWidth="1"/>
    <col min="20" max="20" width="11.5703125" style="9" bestFit="1" customWidth="1"/>
    <col min="21" max="21" width="4.42578125" style="9" bestFit="1" customWidth="1"/>
    <col min="22" max="22" width="4.42578125" style="9" customWidth="1"/>
    <col min="23" max="23" width="13.5703125" style="9" customWidth="1"/>
    <col min="24" max="24" width="4.42578125" style="9" bestFit="1" customWidth="1"/>
    <col min="25" max="25" width="4.42578125" style="9" customWidth="1"/>
    <col min="26" max="26" width="12.7109375" style="9" bestFit="1" customWidth="1"/>
    <col min="27" max="27" width="4.42578125" style="9" bestFit="1" customWidth="1"/>
    <col min="28" max="28" width="4.42578125" style="9" customWidth="1"/>
    <col min="29" max="29" width="13.5703125" style="9" bestFit="1" customWidth="1"/>
    <col min="30" max="30" width="4.42578125" style="9" bestFit="1" customWidth="1"/>
    <col min="31" max="31" width="4.42578125" style="9" customWidth="1"/>
    <col min="32" max="32" width="12.5703125" style="9" bestFit="1" customWidth="1"/>
    <col min="33" max="33" width="4.42578125" style="9" bestFit="1" customWidth="1"/>
    <col min="34" max="34" width="4.42578125" style="9" customWidth="1"/>
    <col min="35" max="35" width="13.140625" style="9" bestFit="1" customWidth="1"/>
    <col min="36" max="36" width="4.42578125" style="9" bestFit="1" customWidth="1"/>
    <col min="37" max="37" width="4.42578125" style="9" customWidth="1"/>
    <col min="38" max="38" width="12.5703125" style="9" customWidth="1"/>
    <col min="39" max="40" width="4.42578125" style="9" bestFit="1" customWidth="1"/>
    <col min="41" max="41" width="10.28515625" style="9" customWidth="1"/>
    <col min="42" max="16384" width="9" style="9"/>
  </cols>
  <sheetData>
    <row r="1" spans="1:55" ht="34.5" customHeight="1" x14ac:dyDescent="0.35">
      <c r="A1" s="76" t="s">
        <v>313</v>
      </c>
      <c r="B1" s="76" t="s">
        <v>314</v>
      </c>
      <c r="C1" s="77" t="s">
        <v>315</v>
      </c>
      <c r="D1" s="78" t="s">
        <v>316</v>
      </c>
      <c r="E1" s="78" t="s">
        <v>713</v>
      </c>
      <c r="F1" s="134" t="s">
        <v>317</v>
      </c>
      <c r="G1" s="135"/>
      <c r="H1" s="78" t="s">
        <v>718</v>
      </c>
      <c r="I1" s="134" t="s">
        <v>317</v>
      </c>
      <c r="J1" s="135"/>
      <c r="K1" s="77" t="s">
        <v>717</v>
      </c>
      <c r="L1" s="77"/>
      <c r="M1" s="77"/>
      <c r="N1" s="77" t="s">
        <v>722</v>
      </c>
      <c r="O1" s="134" t="s">
        <v>317</v>
      </c>
      <c r="P1" s="135"/>
      <c r="Q1" s="78" t="s">
        <v>726</v>
      </c>
      <c r="R1" s="134" t="s">
        <v>317</v>
      </c>
      <c r="S1" s="135"/>
      <c r="T1" s="78" t="s">
        <v>729</v>
      </c>
      <c r="U1" s="134" t="s">
        <v>317</v>
      </c>
      <c r="V1" s="135"/>
      <c r="W1" s="78" t="s">
        <v>731</v>
      </c>
      <c r="X1" s="134" t="s">
        <v>317</v>
      </c>
      <c r="Y1" s="135"/>
      <c r="Z1" s="78" t="s">
        <v>732</v>
      </c>
      <c r="AA1" s="134" t="s">
        <v>317</v>
      </c>
      <c r="AB1" s="135"/>
      <c r="AC1" s="78"/>
      <c r="AD1" s="134" t="s">
        <v>317</v>
      </c>
      <c r="AE1" s="135"/>
      <c r="AF1" s="78"/>
      <c r="AG1" s="134" t="s">
        <v>317</v>
      </c>
      <c r="AH1" s="135"/>
      <c r="AI1" s="78"/>
      <c r="AJ1" s="134" t="s">
        <v>317</v>
      </c>
      <c r="AK1" s="135"/>
      <c r="AL1" s="78"/>
      <c r="AM1" s="134" t="s">
        <v>317</v>
      </c>
      <c r="AN1" s="135"/>
      <c r="AO1" s="70"/>
      <c r="AP1" s="79" t="s">
        <v>318</v>
      </c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</row>
    <row r="2" spans="1:55" s="61" customFormat="1" ht="30" x14ac:dyDescent="0.35">
      <c r="A2" s="99" t="s">
        <v>557</v>
      </c>
      <c r="B2" s="101" t="s">
        <v>559</v>
      </c>
      <c r="C2" s="101" t="s">
        <v>573</v>
      </c>
      <c r="D2" s="101" t="s">
        <v>558</v>
      </c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90"/>
      <c r="AP2" s="10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</row>
    <row r="3" spans="1:55" ht="15" customHeight="1" x14ac:dyDescent="0.35">
      <c r="A3" s="136" t="s">
        <v>319</v>
      </c>
      <c r="B3" s="126" t="s">
        <v>320</v>
      </c>
      <c r="C3" s="80" t="s">
        <v>527</v>
      </c>
      <c r="D3" s="80" t="s">
        <v>0</v>
      </c>
      <c r="E3" s="80">
        <v>46755</v>
      </c>
      <c r="F3" s="80"/>
      <c r="G3" s="130"/>
      <c r="H3" s="80">
        <v>40206</v>
      </c>
      <c r="I3" s="80"/>
      <c r="J3" s="130"/>
      <c r="K3" s="80">
        <v>43812</v>
      </c>
      <c r="L3" s="80"/>
      <c r="M3" s="80"/>
      <c r="N3" s="80">
        <v>36459</v>
      </c>
      <c r="O3" s="80"/>
      <c r="P3" s="80"/>
      <c r="Q3" s="72">
        <v>37723</v>
      </c>
      <c r="R3" s="72"/>
      <c r="S3" s="122"/>
      <c r="T3" s="72">
        <v>42207</v>
      </c>
      <c r="U3" s="72"/>
      <c r="V3" s="122"/>
      <c r="W3" s="72">
        <v>43772</v>
      </c>
      <c r="X3" s="72"/>
      <c r="Y3" s="122"/>
      <c r="Z3" s="72">
        <v>45280</v>
      </c>
      <c r="AA3" s="72"/>
      <c r="AB3" s="122"/>
      <c r="AC3" s="72"/>
      <c r="AD3" s="72"/>
      <c r="AE3" s="122"/>
      <c r="AF3" s="72"/>
      <c r="AG3" s="72"/>
      <c r="AH3" s="122"/>
      <c r="AI3" s="72"/>
      <c r="AJ3" s="72"/>
      <c r="AK3" s="122"/>
      <c r="AL3" s="72"/>
      <c r="AM3" s="72"/>
      <c r="AN3" s="122"/>
      <c r="AO3" s="70" t="s">
        <v>320</v>
      </c>
      <c r="AP3" s="81" t="s">
        <v>322</v>
      </c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</row>
    <row r="4" spans="1:55" ht="13.9" customHeight="1" x14ac:dyDescent="0.35">
      <c r="A4" s="137"/>
      <c r="B4" s="126"/>
      <c r="C4" s="80" t="s">
        <v>323</v>
      </c>
      <c r="D4" s="80" t="s">
        <v>1</v>
      </c>
      <c r="E4" s="80">
        <v>3749</v>
      </c>
      <c r="F4" s="80"/>
      <c r="G4" s="133"/>
      <c r="H4" s="80">
        <v>3315</v>
      </c>
      <c r="I4" s="80"/>
      <c r="J4" s="133"/>
      <c r="K4" s="80">
        <v>3315</v>
      </c>
      <c r="L4" s="80"/>
      <c r="M4" s="80"/>
      <c r="N4" s="80">
        <v>2997</v>
      </c>
      <c r="O4" s="80"/>
      <c r="P4" s="80"/>
      <c r="Q4" s="72">
        <v>3100</v>
      </c>
      <c r="R4" s="72"/>
      <c r="S4" s="118"/>
      <c r="T4" s="72">
        <v>2998</v>
      </c>
      <c r="U4" s="72"/>
      <c r="V4" s="118"/>
      <c r="W4" s="72"/>
      <c r="X4" s="72"/>
      <c r="Y4" s="118"/>
      <c r="Z4" s="72">
        <v>3300</v>
      </c>
      <c r="AA4" s="72"/>
      <c r="AB4" s="118"/>
      <c r="AC4" s="72"/>
      <c r="AD4" s="72"/>
      <c r="AE4" s="118"/>
      <c r="AF4" s="72"/>
      <c r="AG4" s="72"/>
      <c r="AH4" s="118"/>
      <c r="AI4" s="72"/>
      <c r="AJ4" s="72"/>
      <c r="AK4" s="118"/>
      <c r="AL4" s="72"/>
      <c r="AM4" s="72"/>
      <c r="AN4" s="118"/>
      <c r="AO4" s="70" t="s">
        <v>324</v>
      </c>
      <c r="AP4" s="81" t="s">
        <v>325</v>
      </c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</row>
    <row r="5" spans="1:55" ht="13.9" customHeight="1" x14ac:dyDescent="0.35">
      <c r="A5" s="137"/>
      <c r="B5" s="126"/>
      <c r="C5" s="80" t="s">
        <v>326</v>
      </c>
      <c r="D5" s="80" t="s">
        <v>1</v>
      </c>
      <c r="E5" s="80">
        <v>3291</v>
      </c>
      <c r="F5" s="80"/>
      <c r="G5" s="133"/>
      <c r="H5" s="80">
        <v>3805</v>
      </c>
      <c r="I5" s="80"/>
      <c r="J5" s="133"/>
      <c r="K5" s="80">
        <v>3805</v>
      </c>
      <c r="L5" s="80"/>
      <c r="M5" s="80"/>
      <c r="N5" s="80">
        <v>3876</v>
      </c>
      <c r="O5" s="80"/>
      <c r="P5" s="80"/>
      <c r="Q5" s="72">
        <v>3900</v>
      </c>
      <c r="R5" s="72"/>
      <c r="S5" s="118"/>
      <c r="T5" s="72">
        <v>3861</v>
      </c>
      <c r="U5" s="72"/>
      <c r="V5" s="118"/>
      <c r="W5" s="72"/>
      <c r="X5" s="72"/>
      <c r="Y5" s="118"/>
      <c r="Z5" s="72">
        <v>3810</v>
      </c>
      <c r="AA5" s="72"/>
      <c r="AB5" s="118"/>
      <c r="AC5" s="72"/>
      <c r="AD5" s="72"/>
      <c r="AE5" s="118"/>
      <c r="AF5" s="72"/>
      <c r="AG5" s="72"/>
      <c r="AH5" s="118"/>
      <c r="AI5" s="72"/>
      <c r="AJ5" s="72"/>
      <c r="AK5" s="118"/>
      <c r="AL5" s="72"/>
      <c r="AM5" s="72"/>
      <c r="AN5" s="118"/>
      <c r="AO5" s="70" t="s">
        <v>327</v>
      </c>
      <c r="AP5" s="81" t="s">
        <v>328</v>
      </c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</row>
    <row r="6" spans="1:55" ht="13.9" customHeight="1" x14ac:dyDescent="0.35">
      <c r="A6" s="137"/>
      <c r="B6" s="126"/>
      <c r="C6" s="80" t="s">
        <v>329</v>
      </c>
      <c r="D6" s="80" t="s">
        <v>1</v>
      </c>
      <c r="E6" s="80">
        <v>14356</v>
      </c>
      <c r="F6" s="80"/>
      <c r="G6" s="133"/>
      <c r="H6" s="80">
        <v>14377</v>
      </c>
      <c r="I6" s="80"/>
      <c r="J6" s="133"/>
      <c r="K6" s="80">
        <v>15185</v>
      </c>
      <c r="L6" s="80"/>
      <c r="M6" s="80"/>
      <c r="N6" s="80">
        <v>14819</v>
      </c>
      <c r="O6" s="80"/>
      <c r="P6" s="80"/>
      <c r="Q6" s="72">
        <v>13900</v>
      </c>
      <c r="R6" s="72"/>
      <c r="S6" s="118"/>
      <c r="T6" s="72">
        <v>13411</v>
      </c>
      <c r="U6" s="72"/>
      <c r="V6" s="118"/>
      <c r="W6" s="72"/>
      <c r="X6" s="72"/>
      <c r="Y6" s="118"/>
      <c r="Z6" s="72">
        <v>13700</v>
      </c>
      <c r="AA6" s="72"/>
      <c r="AB6" s="118"/>
      <c r="AC6" s="72"/>
      <c r="AD6" s="72"/>
      <c r="AE6" s="118"/>
      <c r="AF6" s="72"/>
      <c r="AG6" s="72"/>
      <c r="AH6" s="118"/>
      <c r="AI6" s="72"/>
      <c r="AJ6" s="72"/>
      <c r="AK6" s="118"/>
      <c r="AL6" s="72"/>
      <c r="AM6" s="72"/>
      <c r="AN6" s="118"/>
      <c r="AO6" s="70"/>
      <c r="AP6" s="81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</row>
    <row r="7" spans="1:55" ht="13.9" customHeight="1" x14ac:dyDescent="0.35">
      <c r="A7" s="137"/>
      <c r="B7" s="126"/>
      <c r="C7" s="80" t="s">
        <v>554</v>
      </c>
      <c r="D7" s="80" t="s">
        <v>0</v>
      </c>
      <c r="E7" s="80" t="s">
        <v>692</v>
      </c>
      <c r="F7" s="80"/>
      <c r="G7" s="133"/>
      <c r="H7" s="80">
        <v>4355</v>
      </c>
      <c r="I7" s="80"/>
      <c r="J7" s="133"/>
      <c r="K7" s="80">
        <v>24700</v>
      </c>
      <c r="L7" s="80"/>
      <c r="M7" s="80"/>
      <c r="N7" s="80">
        <v>9300</v>
      </c>
      <c r="O7" s="80"/>
      <c r="P7" s="80"/>
      <c r="Q7" s="72">
        <v>6600</v>
      </c>
      <c r="R7" s="72"/>
      <c r="S7" s="118"/>
      <c r="T7" s="72">
        <v>7983</v>
      </c>
      <c r="U7" s="72"/>
      <c r="V7" s="118"/>
      <c r="W7" s="72"/>
      <c r="X7" s="72"/>
      <c r="Y7" s="118"/>
      <c r="Z7" s="72" t="s">
        <v>692</v>
      </c>
      <c r="AA7" s="72"/>
      <c r="AB7" s="118"/>
      <c r="AC7" s="72"/>
      <c r="AD7" s="72"/>
      <c r="AE7" s="118"/>
      <c r="AF7" s="72"/>
      <c r="AG7" s="72"/>
      <c r="AH7" s="118"/>
      <c r="AI7" s="72"/>
      <c r="AJ7" s="72"/>
      <c r="AK7" s="118"/>
      <c r="AL7" s="72"/>
      <c r="AM7" s="72"/>
      <c r="AN7" s="118"/>
      <c r="AO7" s="70"/>
      <c r="AP7" s="81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</row>
    <row r="8" spans="1:55" ht="15" customHeight="1" x14ac:dyDescent="0.35">
      <c r="A8" s="137"/>
      <c r="B8" s="126"/>
      <c r="C8" s="10" t="s">
        <v>555</v>
      </c>
      <c r="D8" s="7"/>
      <c r="E8" s="80">
        <v>3</v>
      </c>
      <c r="F8" s="80"/>
      <c r="G8" s="131"/>
      <c r="H8" s="80">
        <v>2</v>
      </c>
      <c r="I8" s="80"/>
      <c r="J8" s="131"/>
      <c r="K8" s="80">
        <v>3</v>
      </c>
      <c r="L8" s="80"/>
      <c r="M8" s="80"/>
      <c r="N8" s="80">
        <v>3</v>
      </c>
      <c r="O8" s="80"/>
      <c r="P8" s="80"/>
      <c r="Q8" s="72">
        <v>2</v>
      </c>
      <c r="R8" s="72"/>
      <c r="S8" s="125"/>
      <c r="T8" s="72">
        <v>1</v>
      </c>
      <c r="U8" s="72"/>
      <c r="V8" s="125"/>
      <c r="W8" s="72"/>
      <c r="X8" s="72"/>
      <c r="Y8" s="125"/>
      <c r="Z8" s="72">
        <v>1</v>
      </c>
      <c r="AA8" s="72"/>
      <c r="AB8" s="125"/>
      <c r="AC8" s="72"/>
      <c r="AD8" s="72"/>
      <c r="AE8" s="125"/>
      <c r="AF8" s="72"/>
      <c r="AG8" s="72"/>
      <c r="AH8" s="125"/>
      <c r="AI8" s="72"/>
      <c r="AJ8" s="72"/>
      <c r="AK8" s="125"/>
      <c r="AL8" s="72"/>
      <c r="AM8" s="72"/>
      <c r="AN8" s="125"/>
      <c r="AO8" s="70" t="s">
        <v>330</v>
      </c>
      <c r="AP8" s="81" t="s">
        <v>331</v>
      </c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</row>
    <row r="9" spans="1:55" ht="13.9" customHeight="1" x14ac:dyDescent="0.35">
      <c r="A9" s="137"/>
      <c r="B9" s="126" t="s">
        <v>324</v>
      </c>
      <c r="C9" s="80" t="s">
        <v>528</v>
      </c>
      <c r="D9" s="80" t="s">
        <v>529</v>
      </c>
      <c r="E9" s="80">
        <v>25</v>
      </c>
      <c r="F9" s="80"/>
      <c r="G9" s="130"/>
      <c r="H9" s="80">
        <v>35</v>
      </c>
      <c r="I9" s="80"/>
      <c r="J9" s="130"/>
      <c r="K9" s="80">
        <v>36</v>
      </c>
      <c r="L9" s="80"/>
      <c r="M9" s="80"/>
      <c r="N9" s="80">
        <v>34</v>
      </c>
      <c r="O9" s="80"/>
      <c r="P9" s="80"/>
      <c r="Q9" s="72">
        <v>32</v>
      </c>
      <c r="R9" s="72"/>
      <c r="S9" s="122"/>
      <c r="T9" s="72">
        <v>29</v>
      </c>
      <c r="U9" s="72"/>
      <c r="V9" s="122"/>
      <c r="W9" s="72">
        <v>36</v>
      </c>
      <c r="X9" s="72"/>
      <c r="Y9" s="122"/>
      <c r="Z9" s="72">
        <v>24</v>
      </c>
      <c r="AA9" s="72"/>
      <c r="AB9" s="122"/>
      <c r="AC9" s="72"/>
      <c r="AD9" s="72"/>
      <c r="AE9" s="122"/>
      <c r="AF9" s="72"/>
      <c r="AG9" s="72"/>
      <c r="AH9" s="122"/>
      <c r="AI9" s="72"/>
      <c r="AJ9" s="72"/>
      <c r="AK9" s="122"/>
      <c r="AL9" s="72"/>
      <c r="AM9" s="72"/>
      <c r="AN9" s="122"/>
      <c r="AO9" s="70" t="s">
        <v>333</v>
      </c>
      <c r="AP9" s="81" t="s">
        <v>334</v>
      </c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</row>
    <row r="10" spans="1:55" ht="13.9" customHeight="1" x14ac:dyDescent="0.35">
      <c r="A10" s="137"/>
      <c r="B10" s="126"/>
      <c r="C10" s="80" t="s">
        <v>556</v>
      </c>
      <c r="D10" s="80" t="s">
        <v>529</v>
      </c>
      <c r="E10" s="80"/>
      <c r="F10" s="80"/>
      <c r="G10" s="133"/>
      <c r="H10" s="80"/>
      <c r="I10" s="80"/>
      <c r="J10" s="133"/>
      <c r="K10" s="80"/>
      <c r="L10" s="80"/>
      <c r="M10" s="80"/>
      <c r="N10" s="80"/>
      <c r="O10" s="80"/>
      <c r="P10" s="80"/>
      <c r="Q10" s="72"/>
      <c r="R10" s="72"/>
      <c r="S10" s="118"/>
      <c r="T10" s="72"/>
      <c r="U10" s="72"/>
      <c r="V10" s="118"/>
      <c r="W10" s="72"/>
      <c r="X10" s="72"/>
      <c r="Y10" s="118"/>
      <c r="Z10" s="72"/>
      <c r="AA10" s="72"/>
      <c r="AB10" s="118"/>
      <c r="AC10" s="72"/>
      <c r="AD10" s="72"/>
      <c r="AE10" s="118"/>
      <c r="AF10" s="72"/>
      <c r="AG10" s="72"/>
      <c r="AH10" s="118"/>
      <c r="AI10" s="72"/>
      <c r="AJ10" s="72"/>
      <c r="AK10" s="118"/>
      <c r="AL10" s="72"/>
      <c r="AM10" s="72"/>
      <c r="AN10" s="118"/>
      <c r="AO10" s="70"/>
      <c r="AP10" s="81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</row>
    <row r="11" spans="1:55" ht="13.9" customHeight="1" x14ac:dyDescent="0.35">
      <c r="A11" s="137"/>
      <c r="B11" s="126"/>
      <c r="C11" s="80" t="s">
        <v>335</v>
      </c>
      <c r="D11" s="80" t="s">
        <v>1</v>
      </c>
      <c r="E11" s="80">
        <v>3992</v>
      </c>
      <c r="F11" s="80"/>
      <c r="G11" s="133"/>
      <c r="H11" s="80">
        <v>3950</v>
      </c>
      <c r="I11" s="80"/>
      <c r="J11" s="133"/>
      <c r="K11" s="80">
        <v>3950</v>
      </c>
      <c r="L11" s="80"/>
      <c r="M11" s="80"/>
      <c r="N11" s="80">
        <v>4166</v>
      </c>
      <c r="O11" s="80"/>
      <c r="P11" s="80"/>
      <c r="Q11" s="72">
        <v>4400</v>
      </c>
      <c r="R11" s="72"/>
      <c r="S11" s="118"/>
      <c r="T11" s="72">
        <v>4292</v>
      </c>
      <c r="U11" s="72"/>
      <c r="V11" s="118"/>
      <c r="W11" s="72">
        <v>4115</v>
      </c>
      <c r="X11" s="72"/>
      <c r="Y11" s="118"/>
      <c r="Z11" s="72">
        <v>4100</v>
      </c>
      <c r="AA11" s="72"/>
      <c r="AB11" s="118"/>
      <c r="AC11" s="72"/>
      <c r="AD11" s="72"/>
      <c r="AE11" s="118"/>
      <c r="AF11" s="72"/>
      <c r="AG11" s="72"/>
      <c r="AH11" s="118"/>
      <c r="AI11" s="72"/>
      <c r="AJ11" s="72"/>
      <c r="AK11" s="118"/>
      <c r="AL11" s="72"/>
      <c r="AM11" s="72"/>
      <c r="AN11" s="118"/>
      <c r="AO11" s="70" t="s">
        <v>336</v>
      </c>
      <c r="AP11" s="81" t="s">
        <v>337</v>
      </c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</row>
    <row r="12" spans="1:55" ht="13.9" customHeight="1" x14ac:dyDescent="0.35">
      <c r="A12" s="137"/>
      <c r="B12" s="126"/>
      <c r="C12" s="80" t="s">
        <v>537</v>
      </c>
      <c r="D12" s="80"/>
      <c r="E12" s="80" t="s">
        <v>631</v>
      </c>
      <c r="F12" s="80"/>
      <c r="G12" s="133"/>
      <c r="H12" s="80" t="s">
        <v>643</v>
      </c>
      <c r="I12" s="80"/>
      <c r="J12" s="133"/>
      <c r="K12" s="80" t="s">
        <v>643</v>
      </c>
      <c r="L12" s="80"/>
      <c r="M12" s="80"/>
      <c r="N12" s="80" t="s">
        <v>691</v>
      </c>
      <c r="O12" s="80"/>
      <c r="P12" s="80"/>
      <c r="Q12" s="72" t="s">
        <v>579</v>
      </c>
      <c r="R12" s="72"/>
      <c r="S12" s="118"/>
      <c r="T12" s="72" t="s">
        <v>579</v>
      </c>
      <c r="U12" s="72"/>
      <c r="V12" s="118"/>
      <c r="W12" s="72"/>
      <c r="X12" s="72"/>
      <c r="Y12" s="118"/>
      <c r="Z12" s="72" t="s">
        <v>643</v>
      </c>
      <c r="AA12" s="72"/>
      <c r="AB12" s="118"/>
      <c r="AC12" s="72"/>
      <c r="AD12" s="72"/>
      <c r="AE12" s="118"/>
      <c r="AF12" s="72"/>
      <c r="AG12" s="72"/>
      <c r="AH12" s="118"/>
      <c r="AI12" s="72"/>
      <c r="AJ12" s="72"/>
      <c r="AK12" s="118"/>
      <c r="AL12" s="72"/>
      <c r="AM12" s="72"/>
      <c r="AN12" s="118"/>
      <c r="AO12" s="70"/>
      <c r="AP12" s="81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</row>
    <row r="13" spans="1:55" ht="13.9" customHeight="1" x14ac:dyDescent="0.35">
      <c r="A13" s="137"/>
      <c r="B13" s="126"/>
      <c r="C13" s="80" t="s">
        <v>530</v>
      </c>
      <c r="D13" s="80"/>
      <c r="E13" s="80">
        <v>4</v>
      </c>
      <c r="F13" s="80"/>
      <c r="G13" s="133"/>
      <c r="H13" s="80">
        <v>4</v>
      </c>
      <c r="I13" s="80"/>
      <c r="J13" s="133"/>
      <c r="K13" s="80"/>
      <c r="L13" s="80"/>
      <c r="M13" s="80"/>
      <c r="N13" s="80">
        <v>4</v>
      </c>
      <c r="O13" s="80"/>
      <c r="P13" s="80"/>
      <c r="Q13" s="72">
        <v>4</v>
      </c>
      <c r="R13" s="72"/>
      <c r="S13" s="118"/>
      <c r="T13" s="72">
        <v>4</v>
      </c>
      <c r="U13" s="72"/>
      <c r="V13" s="118"/>
      <c r="W13" s="72"/>
      <c r="X13" s="72"/>
      <c r="Y13" s="118"/>
      <c r="Z13" s="72">
        <v>4</v>
      </c>
      <c r="AA13" s="72"/>
      <c r="AB13" s="118"/>
      <c r="AC13" s="72"/>
      <c r="AD13" s="72"/>
      <c r="AE13" s="118"/>
      <c r="AF13" s="72"/>
      <c r="AG13" s="72"/>
      <c r="AH13" s="118"/>
      <c r="AI13" s="72"/>
      <c r="AJ13" s="72"/>
      <c r="AK13" s="118"/>
      <c r="AL13" s="72"/>
      <c r="AM13" s="72"/>
      <c r="AN13" s="118"/>
      <c r="AO13" s="70" t="s">
        <v>339</v>
      </c>
      <c r="AP13" s="81" t="s">
        <v>340</v>
      </c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</row>
    <row r="14" spans="1:55" ht="13.9" customHeight="1" x14ac:dyDescent="0.35">
      <c r="A14" s="137"/>
      <c r="B14" s="126"/>
      <c r="C14" s="80" t="s">
        <v>607</v>
      </c>
      <c r="D14" s="80" t="s">
        <v>142</v>
      </c>
      <c r="E14" s="80">
        <v>7</v>
      </c>
      <c r="F14" s="80"/>
      <c r="G14" s="133"/>
      <c r="H14" s="80">
        <v>7.3</v>
      </c>
      <c r="I14" s="80"/>
      <c r="J14" s="133"/>
      <c r="K14" s="80">
        <v>7.3</v>
      </c>
      <c r="L14" s="80"/>
      <c r="M14" s="80"/>
      <c r="N14" s="80">
        <v>6.68</v>
      </c>
      <c r="O14" s="80"/>
      <c r="P14" s="80"/>
      <c r="Q14" s="72">
        <v>7.6</v>
      </c>
      <c r="R14" s="72"/>
      <c r="S14" s="118"/>
      <c r="T14" s="72">
        <v>7.87</v>
      </c>
      <c r="U14" s="72"/>
      <c r="V14" s="118"/>
      <c r="W14" s="72"/>
      <c r="X14" s="72"/>
      <c r="Y14" s="118"/>
      <c r="Z14" s="72">
        <v>10.6</v>
      </c>
      <c r="AA14" s="72"/>
      <c r="AB14" s="118"/>
      <c r="AC14" s="72"/>
      <c r="AD14" s="72"/>
      <c r="AE14" s="118"/>
      <c r="AF14" s="72"/>
      <c r="AG14" s="72"/>
      <c r="AH14" s="118"/>
      <c r="AI14" s="72"/>
      <c r="AJ14" s="72"/>
      <c r="AK14" s="118"/>
      <c r="AL14" s="72"/>
      <c r="AM14" s="72"/>
      <c r="AN14" s="118"/>
      <c r="AO14" s="70"/>
      <c r="AP14" s="81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</row>
    <row r="15" spans="1:55" ht="13.9" customHeight="1" x14ac:dyDescent="0.35">
      <c r="A15" s="137"/>
      <c r="B15" s="126"/>
      <c r="C15" s="80" t="s">
        <v>608</v>
      </c>
      <c r="D15" s="80" t="s">
        <v>575</v>
      </c>
      <c r="E15" s="80">
        <v>70</v>
      </c>
      <c r="F15" s="80"/>
      <c r="G15" s="133"/>
      <c r="H15" s="80">
        <v>79</v>
      </c>
      <c r="I15" s="80"/>
      <c r="J15" s="133"/>
      <c r="K15" s="80">
        <v>84</v>
      </c>
      <c r="L15" s="80"/>
      <c r="M15" s="80"/>
      <c r="N15" s="80">
        <v>126</v>
      </c>
      <c r="O15" s="80"/>
      <c r="P15" s="80"/>
      <c r="Q15" s="72">
        <v>25</v>
      </c>
      <c r="R15" s="72"/>
      <c r="S15" s="118"/>
      <c r="T15" s="72">
        <v>76</v>
      </c>
      <c r="U15" s="72"/>
      <c r="V15" s="118"/>
      <c r="W15" s="72">
        <v>70</v>
      </c>
      <c r="X15" s="72"/>
      <c r="Y15" s="118"/>
      <c r="Z15" s="72">
        <v>75</v>
      </c>
      <c r="AA15" s="72"/>
      <c r="AB15" s="118"/>
      <c r="AC15" s="72"/>
      <c r="AD15" s="72"/>
      <c r="AE15" s="118"/>
      <c r="AF15" s="72"/>
      <c r="AG15" s="72"/>
      <c r="AH15" s="118"/>
      <c r="AI15" s="72"/>
      <c r="AJ15" s="72"/>
      <c r="AK15" s="118"/>
      <c r="AL15" s="72"/>
      <c r="AM15" s="72"/>
      <c r="AN15" s="118"/>
      <c r="AO15" s="70"/>
      <c r="AP15" s="81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</row>
    <row r="16" spans="1:55" ht="13.9" customHeight="1" x14ac:dyDescent="0.35">
      <c r="A16" s="137"/>
      <c r="B16" s="126"/>
      <c r="C16" s="80" t="s">
        <v>531</v>
      </c>
      <c r="D16" s="80" t="s">
        <v>563</v>
      </c>
      <c r="E16" s="80">
        <v>23</v>
      </c>
      <c r="F16" s="80"/>
      <c r="G16" s="133"/>
      <c r="H16" s="80">
        <v>16</v>
      </c>
      <c r="I16" s="80"/>
      <c r="J16" s="133"/>
      <c r="K16" s="80">
        <v>16</v>
      </c>
      <c r="L16" s="80"/>
      <c r="M16" s="80"/>
      <c r="N16" s="80">
        <v>19</v>
      </c>
      <c r="O16" s="80"/>
      <c r="P16" s="80"/>
      <c r="Q16" s="72">
        <v>23</v>
      </c>
      <c r="R16" s="72"/>
      <c r="S16" s="118"/>
      <c r="T16" s="72">
        <v>19</v>
      </c>
      <c r="U16" s="72"/>
      <c r="V16" s="118"/>
      <c r="W16" s="72"/>
      <c r="X16" s="72"/>
      <c r="Y16" s="118"/>
      <c r="Z16" s="72">
        <v>22</v>
      </c>
      <c r="AA16" s="72"/>
      <c r="AB16" s="118"/>
      <c r="AC16" s="72"/>
      <c r="AD16" s="72"/>
      <c r="AE16" s="118"/>
      <c r="AF16" s="72"/>
      <c r="AG16" s="72"/>
      <c r="AH16" s="118"/>
      <c r="AI16" s="72"/>
      <c r="AJ16" s="72"/>
      <c r="AK16" s="118"/>
      <c r="AL16" s="72"/>
      <c r="AM16" s="72"/>
      <c r="AN16" s="118"/>
      <c r="AO16" s="70"/>
      <c r="AP16" s="81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</row>
    <row r="17" spans="1:55" ht="13.9" customHeight="1" x14ac:dyDescent="0.35">
      <c r="A17" s="137"/>
      <c r="B17" s="126"/>
      <c r="C17" s="80" t="s">
        <v>532</v>
      </c>
      <c r="D17" s="80" t="s">
        <v>563</v>
      </c>
      <c r="E17" s="80">
        <v>31</v>
      </c>
      <c r="F17" s="80"/>
      <c r="G17" s="131"/>
      <c r="H17" s="80">
        <v>14</v>
      </c>
      <c r="I17" s="80"/>
      <c r="J17" s="131"/>
      <c r="K17" s="80">
        <v>14</v>
      </c>
      <c r="L17" s="80"/>
      <c r="M17" s="80"/>
      <c r="N17" s="80">
        <v>20</v>
      </c>
      <c r="O17" s="80"/>
      <c r="P17" s="80"/>
      <c r="Q17" s="72">
        <v>20</v>
      </c>
      <c r="R17" s="72"/>
      <c r="S17" s="125"/>
      <c r="T17" s="72">
        <v>20</v>
      </c>
      <c r="U17" s="72"/>
      <c r="V17" s="125"/>
      <c r="W17" s="72"/>
      <c r="X17" s="72"/>
      <c r="Y17" s="125"/>
      <c r="Z17" s="72">
        <v>20</v>
      </c>
      <c r="AA17" s="72"/>
      <c r="AB17" s="125"/>
      <c r="AC17" s="72"/>
      <c r="AD17" s="72"/>
      <c r="AE17" s="125"/>
      <c r="AF17" s="72"/>
      <c r="AG17" s="72"/>
      <c r="AH17" s="125"/>
      <c r="AI17" s="72"/>
      <c r="AJ17" s="72"/>
      <c r="AK17" s="125"/>
      <c r="AL17" s="72"/>
      <c r="AM17" s="72"/>
      <c r="AN17" s="125"/>
      <c r="AO17" s="70" t="s">
        <v>342</v>
      </c>
      <c r="AP17" s="81" t="s">
        <v>343</v>
      </c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</row>
    <row r="18" spans="1:55" ht="13.9" customHeight="1" x14ac:dyDescent="0.35">
      <c r="A18" s="137"/>
      <c r="B18" s="130" t="s">
        <v>582</v>
      </c>
      <c r="C18" s="80" t="s">
        <v>522</v>
      </c>
      <c r="D18" s="80" t="s">
        <v>142</v>
      </c>
      <c r="E18" s="80">
        <v>11.8</v>
      </c>
      <c r="F18" s="80"/>
      <c r="G18" s="130"/>
      <c r="H18" s="80">
        <v>12</v>
      </c>
      <c r="I18" s="80"/>
      <c r="J18" s="130"/>
      <c r="K18" s="80">
        <v>12.8</v>
      </c>
      <c r="L18" s="80"/>
      <c r="M18" s="80"/>
      <c r="N18" s="80">
        <v>11.9</v>
      </c>
      <c r="O18" s="80"/>
      <c r="P18" s="80"/>
      <c r="Q18" s="72">
        <v>11.58</v>
      </c>
      <c r="R18" s="72"/>
      <c r="S18" s="122"/>
      <c r="T18" s="72">
        <v>11.19</v>
      </c>
      <c r="U18" s="72"/>
      <c r="V18" s="122"/>
      <c r="W18" s="72">
        <v>11.8</v>
      </c>
      <c r="X18" s="72"/>
      <c r="Y18" s="122"/>
      <c r="Z18" s="72">
        <v>11.3</v>
      </c>
      <c r="AA18" s="72"/>
      <c r="AB18" s="122"/>
      <c r="AC18" s="72"/>
      <c r="AD18" s="72"/>
      <c r="AE18" s="122"/>
      <c r="AF18" s="72"/>
      <c r="AG18" s="72"/>
      <c r="AH18" s="122"/>
      <c r="AI18" s="72"/>
      <c r="AJ18" s="72"/>
      <c r="AK18" s="122"/>
      <c r="AL18" s="72"/>
      <c r="AM18" s="72"/>
      <c r="AN18" s="122"/>
      <c r="AO18" s="70" t="s">
        <v>345</v>
      </c>
      <c r="AP18" s="81" t="s">
        <v>346</v>
      </c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</row>
    <row r="19" spans="1:55" ht="13.9" customHeight="1" x14ac:dyDescent="0.35">
      <c r="A19" s="137"/>
      <c r="B19" s="133"/>
      <c r="C19" s="80" t="s">
        <v>523</v>
      </c>
      <c r="D19" s="80" t="s">
        <v>142</v>
      </c>
      <c r="E19" s="80">
        <v>45</v>
      </c>
      <c r="F19" s="80"/>
      <c r="G19" s="133"/>
      <c r="H19" s="80">
        <v>47</v>
      </c>
      <c r="I19" s="80"/>
      <c r="J19" s="133"/>
      <c r="K19" s="80">
        <v>51</v>
      </c>
      <c r="L19" s="80"/>
      <c r="M19" s="80"/>
      <c r="N19" s="80">
        <v>47.3</v>
      </c>
      <c r="O19" s="80"/>
      <c r="P19" s="80"/>
      <c r="Q19" s="72">
        <v>43.28</v>
      </c>
      <c r="R19" s="72"/>
      <c r="S19" s="118"/>
      <c r="T19" s="72">
        <v>42.1</v>
      </c>
      <c r="U19" s="72"/>
      <c r="V19" s="118"/>
      <c r="W19" s="72">
        <v>46</v>
      </c>
      <c r="X19" s="72"/>
      <c r="Y19" s="118"/>
      <c r="Z19" s="72">
        <v>43.5</v>
      </c>
      <c r="AA19" s="72"/>
      <c r="AB19" s="118"/>
      <c r="AC19" s="72"/>
      <c r="AD19" s="84"/>
      <c r="AE19" s="118"/>
      <c r="AF19" s="84"/>
      <c r="AG19" s="72"/>
      <c r="AH19" s="118"/>
      <c r="AI19" s="72"/>
      <c r="AJ19" s="72"/>
      <c r="AK19" s="118"/>
      <c r="AL19" s="72"/>
      <c r="AM19" s="72"/>
      <c r="AN19" s="118"/>
      <c r="AO19" s="70"/>
      <c r="AP19" s="79" t="s">
        <v>348</v>
      </c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</row>
    <row r="20" spans="1:55" ht="13.9" customHeight="1" x14ac:dyDescent="0.35">
      <c r="A20" s="137"/>
      <c r="B20" s="133"/>
      <c r="C20" s="80" t="s">
        <v>524</v>
      </c>
      <c r="D20" s="80" t="s">
        <v>142</v>
      </c>
      <c r="E20" s="80">
        <v>16</v>
      </c>
      <c r="F20" s="80"/>
      <c r="G20" s="133"/>
      <c r="H20" s="80">
        <v>17.7</v>
      </c>
      <c r="I20" s="80"/>
      <c r="J20" s="133"/>
      <c r="K20" s="80">
        <v>17.7</v>
      </c>
      <c r="L20" s="80"/>
      <c r="M20" s="80"/>
      <c r="N20" s="80">
        <v>17.100000000000001</v>
      </c>
      <c r="O20" s="80"/>
      <c r="P20" s="80"/>
      <c r="Q20" s="72">
        <v>17.7</v>
      </c>
      <c r="R20" s="72"/>
      <c r="S20" s="118"/>
      <c r="T20" s="72">
        <v>14.9</v>
      </c>
      <c r="U20" s="72"/>
      <c r="V20" s="118"/>
      <c r="W20" s="72">
        <v>16</v>
      </c>
      <c r="X20" s="72"/>
      <c r="Y20" s="118"/>
      <c r="Z20" s="72"/>
      <c r="AA20" s="72"/>
      <c r="AB20" s="118"/>
      <c r="AC20" s="72"/>
      <c r="AD20" s="72"/>
      <c r="AE20" s="118"/>
      <c r="AF20" s="72"/>
      <c r="AG20" s="72"/>
      <c r="AH20" s="118"/>
      <c r="AI20" s="72"/>
      <c r="AJ20" s="72"/>
      <c r="AK20" s="118"/>
      <c r="AL20" s="72"/>
      <c r="AM20" s="72"/>
      <c r="AN20" s="118"/>
      <c r="AO20" s="70" t="s">
        <v>350</v>
      </c>
      <c r="AP20" s="81" t="s">
        <v>351</v>
      </c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</row>
    <row r="21" spans="1:55" ht="13.9" customHeight="1" x14ac:dyDescent="0.35">
      <c r="A21" s="137"/>
      <c r="B21" s="133"/>
      <c r="C21" s="80" t="s">
        <v>525</v>
      </c>
      <c r="D21" s="80" t="s">
        <v>142</v>
      </c>
      <c r="E21" s="80" t="s">
        <v>692</v>
      </c>
      <c r="F21" s="80"/>
      <c r="G21" s="133"/>
      <c r="H21" s="106" t="s">
        <v>692</v>
      </c>
      <c r="I21" s="80"/>
      <c r="J21" s="133"/>
      <c r="K21" s="106" t="s">
        <v>692</v>
      </c>
      <c r="L21" s="80"/>
      <c r="M21" s="80"/>
      <c r="N21" s="80" t="s">
        <v>596</v>
      </c>
      <c r="O21" s="80"/>
      <c r="P21" s="80"/>
      <c r="Q21" s="115" t="s">
        <v>692</v>
      </c>
      <c r="R21" s="72"/>
      <c r="S21" s="118"/>
      <c r="T21" s="114" t="s">
        <v>692</v>
      </c>
      <c r="U21" s="72"/>
      <c r="V21" s="118"/>
      <c r="W21" s="72"/>
      <c r="X21" s="72"/>
      <c r="Y21" s="118"/>
      <c r="Z21" s="114"/>
      <c r="AA21" s="72"/>
      <c r="AB21" s="118"/>
      <c r="AC21" s="72"/>
      <c r="AD21" s="72"/>
      <c r="AE21" s="118"/>
      <c r="AF21" s="72"/>
      <c r="AG21" s="72"/>
      <c r="AH21" s="118"/>
      <c r="AI21" s="72"/>
      <c r="AJ21" s="72"/>
      <c r="AK21" s="118"/>
      <c r="AL21" s="72"/>
      <c r="AM21" s="72"/>
      <c r="AN21" s="118"/>
      <c r="AO21" s="70" t="s">
        <v>333</v>
      </c>
      <c r="AP21" s="81" t="s">
        <v>353</v>
      </c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</row>
    <row r="22" spans="1:55" ht="13.9" customHeight="1" x14ac:dyDescent="0.35">
      <c r="A22" s="137"/>
      <c r="B22" s="133"/>
      <c r="C22" s="80" t="s">
        <v>552</v>
      </c>
      <c r="D22" s="80" t="s">
        <v>563</v>
      </c>
      <c r="E22" s="80" t="s">
        <v>632</v>
      </c>
      <c r="F22" s="80"/>
      <c r="G22" s="133"/>
      <c r="H22" s="105"/>
      <c r="I22" s="80"/>
      <c r="J22" s="133"/>
      <c r="K22" s="14" t="s">
        <v>645</v>
      </c>
      <c r="L22" s="80"/>
      <c r="M22" s="80"/>
      <c r="N22" s="80" t="s">
        <v>696</v>
      </c>
      <c r="O22" s="80"/>
      <c r="P22" s="80"/>
      <c r="Q22" s="72" t="s">
        <v>705</v>
      </c>
      <c r="R22" s="72"/>
      <c r="S22" s="118"/>
      <c r="T22" s="72" t="s">
        <v>648</v>
      </c>
      <c r="U22" s="72"/>
      <c r="V22" s="118"/>
      <c r="W22" s="72"/>
      <c r="X22" s="72"/>
      <c r="Y22" s="118"/>
      <c r="Z22" s="72" t="s">
        <v>648</v>
      </c>
      <c r="AA22" s="72"/>
      <c r="AB22" s="118"/>
      <c r="AC22" s="72"/>
      <c r="AD22" s="72"/>
      <c r="AE22" s="118"/>
      <c r="AF22" s="72"/>
      <c r="AG22" s="72"/>
      <c r="AH22" s="118"/>
      <c r="AI22" s="72"/>
      <c r="AJ22" s="72"/>
      <c r="AK22" s="118"/>
      <c r="AL22" s="72"/>
      <c r="AM22" s="72"/>
      <c r="AN22" s="118"/>
      <c r="AO22" s="70"/>
      <c r="AP22" s="81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</row>
    <row r="23" spans="1:55" ht="13.9" customHeight="1" x14ac:dyDescent="0.35">
      <c r="A23" s="137"/>
      <c r="B23" s="131"/>
      <c r="C23" s="80" t="s">
        <v>553</v>
      </c>
      <c r="D23" s="80" t="s">
        <v>544</v>
      </c>
      <c r="E23" s="80" t="s">
        <v>596</v>
      </c>
      <c r="F23" s="80"/>
      <c r="G23" s="133"/>
      <c r="H23" s="80"/>
      <c r="I23" s="80"/>
      <c r="J23" s="133"/>
      <c r="K23" s="105" t="s">
        <v>596</v>
      </c>
      <c r="L23" s="80"/>
      <c r="M23" s="80"/>
      <c r="N23" s="80" t="s">
        <v>596</v>
      </c>
      <c r="O23" s="80"/>
      <c r="P23" s="80"/>
      <c r="Q23" s="72" t="s">
        <v>596</v>
      </c>
      <c r="R23" s="72"/>
      <c r="S23" s="118"/>
      <c r="T23" s="72" t="s">
        <v>596</v>
      </c>
      <c r="U23" s="72"/>
      <c r="V23" s="118"/>
      <c r="W23" s="72"/>
      <c r="X23" s="72"/>
      <c r="Y23" s="118"/>
      <c r="Z23" s="72"/>
      <c r="AA23" s="72"/>
      <c r="AB23" s="118"/>
      <c r="AC23" s="72"/>
      <c r="AD23" s="72"/>
      <c r="AE23" s="118"/>
      <c r="AF23" s="72"/>
      <c r="AG23" s="72"/>
      <c r="AH23" s="118"/>
      <c r="AI23" s="72"/>
      <c r="AJ23" s="72"/>
      <c r="AK23" s="118"/>
      <c r="AL23" s="72"/>
      <c r="AM23" s="72"/>
      <c r="AN23" s="118"/>
      <c r="AO23" s="70"/>
      <c r="AP23" s="81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</row>
    <row r="24" spans="1:55" ht="13.9" customHeight="1" x14ac:dyDescent="0.35">
      <c r="A24" s="137"/>
      <c r="B24" s="104"/>
      <c r="C24" s="80" t="s">
        <v>526</v>
      </c>
      <c r="D24" s="80" t="s">
        <v>1</v>
      </c>
      <c r="E24" s="80">
        <v>4200</v>
      </c>
      <c r="F24" s="80"/>
      <c r="G24" s="133"/>
      <c r="H24" s="80">
        <v>4191</v>
      </c>
      <c r="I24" s="80"/>
      <c r="J24" s="133"/>
      <c r="K24" s="80" t="s">
        <v>719</v>
      </c>
      <c r="L24" s="80"/>
      <c r="M24" s="80"/>
      <c r="N24" s="80">
        <v>4535</v>
      </c>
      <c r="O24" s="80"/>
      <c r="P24" s="80"/>
      <c r="Q24" s="72">
        <v>4200</v>
      </c>
      <c r="R24" s="72"/>
      <c r="S24" s="118"/>
      <c r="T24" s="72">
        <v>4242</v>
      </c>
      <c r="U24" s="72"/>
      <c r="V24" s="118"/>
      <c r="W24" s="72"/>
      <c r="X24" s="72"/>
      <c r="Y24" s="118"/>
      <c r="Z24" s="72">
        <v>4400</v>
      </c>
      <c r="AA24" s="72"/>
      <c r="AB24" s="118"/>
      <c r="AC24" s="72"/>
      <c r="AD24" s="72"/>
      <c r="AE24" s="118"/>
      <c r="AF24" s="72"/>
      <c r="AG24" s="72"/>
      <c r="AH24" s="118"/>
      <c r="AI24" s="72"/>
      <c r="AJ24" s="72"/>
      <c r="AK24" s="118"/>
      <c r="AL24" s="72"/>
      <c r="AM24" s="72"/>
      <c r="AN24" s="118"/>
      <c r="AO24" s="70" t="s">
        <v>355</v>
      </c>
      <c r="AP24" s="81" t="s">
        <v>356</v>
      </c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</row>
    <row r="25" spans="1:55" ht="13.9" customHeight="1" x14ac:dyDescent="0.35">
      <c r="A25" s="137"/>
      <c r="B25" s="104"/>
      <c r="C25" s="80" t="s">
        <v>598</v>
      </c>
      <c r="D25" s="80" t="s">
        <v>563</v>
      </c>
      <c r="E25" s="80" t="s">
        <v>611</v>
      </c>
      <c r="F25" s="80"/>
      <c r="G25" s="133"/>
      <c r="H25" s="106" t="s">
        <v>611</v>
      </c>
      <c r="I25" s="80"/>
      <c r="J25" s="133"/>
      <c r="K25" s="80" t="s">
        <v>611</v>
      </c>
      <c r="L25" s="80"/>
      <c r="M25" s="80"/>
      <c r="N25" s="80" t="s">
        <v>611</v>
      </c>
      <c r="O25" s="80"/>
      <c r="P25" s="80"/>
      <c r="Q25" s="72" t="s">
        <v>611</v>
      </c>
      <c r="R25" s="72"/>
      <c r="S25" s="118"/>
      <c r="T25" s="72" t="s">
        <v>707</v>
      </c>
      <c r="U25" s="72"/>
      <c r="V25" s="118"/>
      <c r="W25" s="72"/>
      <c r="X25" s="72"/>
      <c r="Y25" s="118"/>
      <c r="Z25" s="72"/>
      <c r="AA25" s="72"/>
      <c r="AB25" s="118"/>
      <c r="AC25" s="72"/>
      <c r="AD25" s="72"/>
      <c r="AE25" s="118"/>
      <c r="AF25" s="72"/>
      <c r="AG25" s="72"/>
      <c r="AH25" s="118"/>
      <c r="AI25" s="72"/>
      <c r="AJ25" s="72"/>
      <c r="AK25" s="118"/>
      <c r="AL25" s="72"/>
      <c r="AM25" s="72"/>
      <c r="AN25" s="118"/>
      <c r="AO25" s="70"/>
      <c r="AP25" s="81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</row>
    <row r="26" spans="1:55" ht="13.9" customHeight="1" x14ac:dyDescent="0.35">
      <c r="A26" s="137"/>
      <c r="B26" s="130" t="s">
        <v>581</v>
      </c>
      <c r="C26" s="80" t="s">
        <v>533</v>
      </c>
      <c r="D26" s="80" t="s">
        <v>1</v>
      </c>
      <c r="E26" s="80"/>
      <c r="F26" s="80"/>
      <c r="G26" s="133"/>
      <c r="H26" s="80"/>
      <c r="I26" s="80"/>
      <c r="J26" s="133"/>
      <c r="K26" s="80"/>
      <c r="L26" s="80"/>
      <c r="M26" s="80"/>
      <c r="N26" s="80">
        <v>179</v>
      </c>
      <c r="O26" s="80"/>
      <c r="P26" s="80"/>
      <c r="Q26" s="72">
        <v>300</v>
      </c>
      <c r="R26" s="72"/>
      <c r="S26" s="118"/>
      <c r="T26" s="72"/>
      <c r="U26" s="72"/>
      <c r="V26" s="118"/>
      <c r="W26" s="72"/>
      <c r="X26" s="72"/>
      <c r="Y26" s="118"/>
      <c r="Z26" s="72"/>
      <c r="AA26" s="72"/>
      <c r="AB26" s="118"/>
      <c r="AC26" s="72"/>
      <c r="AD26" s="72"/>
      <c r="AE26" s="118"/>
      <c r="AF26" s="72"/>
      <c r="AG26" s="72"/>
      <c r="AH26" s="118"/>
      <c r="AI26" s="72"/>
      <c r="AJ26" s="72"/>
      <c r="AK26" s="118"/>
      <c r="AL26" s="72"/>
      <c r="AM26" s="72"/>
      <c r="AN26" s="118"/>
      <c r="AO26" s="70"/>
      <c r="AP26" s="81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</row>
    <row r="27" spans="1:55" ht="13.9" customHeight="1" x14ac:dyDescent="0.35">
      <c r="A27" s="137"/>
      <c r="B27" s="133"/>
      <c r="C27" s="80" t="s">
        <v>534</v>
      </c>
      <c r="D27" s="80" t="s">
        <v>142</v>
      </c>
      <c r="E27" s="80">
        <v>7.4</v>
      </c>
      <c r="F27" s="80"/>
      <c r="G27" s="133"/>
      <c r="H27" s="80">
        <v>7.3</v>
      </c>
      <c r="I27" s="80"/>
      <c r="J27" s="133"/>
      <c r="K27" s="80">
        <v>7.3</v>
      </c>
      <c r="L27" s="80"/>
      <c r="M27" s="80"/>
      <c r="N27" s="80">
        <v>7.3</v>
      </c>
      <c r="O27" s="80"/>
      <c r="P27" s="80"/>
      <c r="Q27" s="72">
        <v>7.9</v>
      </c>
      <c r="R27" s="72"/>
      <c r="S27" s="118"/>
      <c r="T27" s="72">
        <v>8</v>
      </c>
      <c r="U27" s="72"/>
      <c r="V27" s="118"/>
      <c r="W27" s="72">
        <v>8.15</v>
      </c>
      <c r="X27" s="72"/>
      <c r="Y27" s="118"/>
      <c r="Z27" s="72">
        <v>7.4</v>
      </c>
      <c r="AA27" s="72"/>
      <c r="AB27" s="118"/>
      <c r="AC27" s="72"/>
      <c r="AD27" s="72"/>
      <c r="AE27" s="118"/>
      <c r="AF27" s="72"/>
      <c r="AG27" s="72"/>
      <c r="AH27" s="118"/>
      <c r="AI27" s="72"/>
      <c r="AJ27" s="72"/>
      <c r="AK27" s="118"/>
      <c r="AL27" s="72"/>
      <c r="AM27" s="72"/>
      <c r="AN27" s="118"/>
      <c r="AO27" s="70"/>
      <c r="AP27" s="81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</row>
    <row r="28" spans="1:55" ht="13.9" customHeight="1" x14ac:dyDescent="0.35">
      <c r="A28" s="137"/>
      <c r="B28" s="133"/>
      <c r="C28" s="80" t="s">
        <v>605</v>
      </c>
      <c r="D28" s="80"/>
      <c r="E28" s="80">
        <v>4</v>
      </c>
      <c r="F28" s="80"/>
      <c r="G28" s="133"/>
      <c r="H28" s="80">
        <v>4</v>
      </c>
      <c r="I28" s="80"/>
      <c r="J28" s="133"/>
      <c r="K28" s="80">
        <v>4</v>
      </c>
      <c r="L28" s="80"/>
      <c r="M28" s="80"/>
      <c r="N28" s="80">
        <v>3</v>
      </c>
      <c r="O28" s="80"/>
      <c r="P28" s="80"/>
      <c r="Q28" s="72">
        <v>3</v>
      </c>
      <c r="R28" s="72"/>
      <c r="S28" s="118"/>
      <c r="T28" s="72">
        <v>3</v>
      </c>
      <c r="U28" s="72"/>
      <c r="V28" s="118"/>
      <c r="W28" s="72"/>
      <c r="X28" s="72"/>
      <c r="Y28" s="118"/>
      <c r="Z28" s="72">
        <v>3</v>
      </c>
      <c r="AA28" s="72"/>
      <c r="AB28" s="118"/>
      <c r="AC28" s="72"/>
      <c r="AD28" s="72"/>
      <c r="AE28" s="118"/>
      <c r="AF28" s="72"/>
      <c r="AG28" s="72"/>
      <c r="AH28" s="118"/>
      <c r="AI28" s="72"/>
      <c r="AJ28" s="72"/>
      <c r="AK28" s="118"/>
      <c r="AL28" s="72"/>
      <c r="AM28" s="72"/>
      <c r="AN28" s="118"/>
      <c r="AO28" s="70"/>
      <c r="AP28" s="81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</row>
    <row r="29" spans="1:55" s="14" customFormat="1" ht="14.25" customHeight="1" x14ac:dyDescent="0.25">
      <c r="A29" s="137"/>
      <c r="B29" s="131"/>
      <c r="C29" s="80" t="s">
        <v>609</v>
      </c>
      <c r="D29" s="80" t="s">
        <v>544</v>
      </c>
      <c r="E29" s="80" t="s">
        <v>596</v>
      </c>
      <c r="F29" s="80"/>
      <c r="G29" s="131"/>
      <c r="H29" s="80" t="s">
        <v>583</v>
      </c>
      <c r="I29" s="80"/>
      <c r="J29" s="131"/>
      <c r="K29" s="80" t="s">
        <v>583</v>
      </c>
      <c r="L29" s="80"/>
      <c r="M29" s="80"/>
      <c r="N29" s="80" t="s">
        <v>583</v>
      </c>
      <c r="O29" s="80"/>
      <c r="P29" s="80"/>
      <c r="Q29" s="73" t="s">
        <v>583</v>
      </c>
      <c r="R29" s="73"/>
      <c r="S29" s="125"/>
      <c r="T29" s="72" t="s">
        <v>596</v>
      </c>
      <c r="U29" s="72"/>
      <c r="V29" s="125"/>
      <c r="W29" s="72"/>
      <c r="X29" s="72"/>
      <c r="Y29" s="125"/>
      <c r="Z29" s="72" t="s">
        <v>596</v>
      </c>
      <c r="AA29" s="72"/>
      <c r="AB29" s="125"/>
      <c r="AC29" s="73"/>
      <c r="AD29" s="73"/>
      <c r="AE29" s="125"/>
      <c r="AF29" s="73"/>
      <c r="AG29" s="73"/>
      <c r="AH29" s="125"/>
      <c r="AI29" s="73"/>
      <c r="AJ29" s="73"/>
      <c r="AK29" s="125"/>
      <c r="AL29" s="72"/>
      <c r="AM29" s="72"/>
      <c r="AN29" s="125"/>
      <c r="AO29" s="84" t="s">
        <v>358</v>
      </c>
      <c r="AP29" s="85" t="s">
        <v>359</v>
      </c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</row>
    <row r="30" spans="1:55" s="14" customFormat="1" ht="14.25" customHeight="1" x14ac:dyDescent="0.25">
      <c r="A30" s="137"/>
      <c r="B30" s="130" t="s">
        <v>330</v>
      </c>
      <c r="C30" s="80" t="s">
        <v>350</v>
      </c>
      <c r="D30" s="80"/>
      <c r="E30" s="80" t="s">
        <v>591</v>
      </c>
      <c r="F30" s="80"/>
      <c r="G30" s="82"/>
      <c r="H30" s="80" t="s">
        <v>576</v>
      </c>
      <c r="I30" s="80"/>
      <c r="J30" s="82"/>
      <c r="K30" s="80" t="s">
        <v>576</v>
      </c>
      <c r="L30" s="80"/>
      <c r="M30" s="80"/>
      <c r="N30" s="80" t="s">
        <v>576</v>
      </c>
      <c r="O30" s="80"/>
      <c r="P30" s="80"/>
      <c r="Q30" s="73" t="s">
        <v>728</v>
      </c>
      <c r="R30" s="73"/>
      <c r="S30" s="83"/>
      <c r="T30" s="72" t="s">
        <v>591</v>
      </c>
      <c r="U30" s="72"/>
      <c r="V30" s="83"/>
      <c r="W30" s="72"/>
      <c r="X30" s="72"/>
      <c r="Y30" s="83"/>
      <c r="Z30" s="72" t="s">
        <v>591</v>
      </c>
      <c r="AA30" s="72"/>
      <c r="AB30" s="83"/>
      <c r="AC30" s="73"/>
      <c r="AD30" s="73"/>
      <c r="AE30" s="83"/>
      <c r="AF30" s="73"/>
      <c r="AG30" s="73"/>
      <c r="AH30" s="83"/>
      <c r="AI30" s="73"/>
      <c r="AJ30" s="73"/>
      <c r="AK30" s="83"/>
      <c r="AL30" s="72"/>
      <c r="AM30" s="72"/>
      <c r="AN30" s="83"/>
      <c r="AO30" s="84"/>
      <c r="AP30" s="85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</row>
    <row r="31" spans="1:55" ht="14.25" customHeight="1" x14ac:dyDescent="0.35">
      <c r="A31" s="137"/>
      <c r="B31" s="133"/>
      <c r="C31" s="80" t="s">
        <v>536</v>
      </c>
      <c r="D31" s="80" t="s">
        <v>3</v>
      </c>
      <c r="E31" s="80">
        <v>194</v>
      </c>
      <c r="F31" s="80"/>
      <c r="G31" s="130"/>
      <c r="H31" s="80">
        <v>209</v>
      </c>
      <c r="I31" s="80"/>
      <c r="J31" s="130"/>
      <c r="K31" s="80">
        <v>209</v>
      </c>
      <c r="L31" s="80"/>
      <c r="M31" s="80"/>
      <c r="N31" s="80">
        <v>194</v>
      </c>
      <c r="O31" s="80"/>
      <c r="P31" s="80"/>
      <c r="Q31" s="108">
        <v>270</v>
      </c>
      <c r="R31" s="72"/>
      <c r="S31" s="122"/>
      <c r="T31" s="72">
        <v>168</v>
      </c>
      <c r="U31" s="72"/>
      <c r="V31" s="122"/>
      <c r="W31" s="72"/>
      <c r="X31" s="72"/>
      <c r="Y31" s="122"/>
      <c r="Z31" s="72">
        <v>209</v>
      </c>
      <c r="AA31" s="72"/>
      <c r="AB31" s="122"/>
      <c r="AC31" s="72"/>
      <c r="AD31" s="72"/>
      <c r="AE31" s="122"/>
      <c r="AF31" s="72"/>
      <c r="AG31" s="72"/>
      <c r="AH31" s="122"/>
      <c r="AI31" s="72"/>
      <c r="AJ31" s="72"/>
      <c r="AK31" s="122"/>
      <c r="AL31" s="72"/>
      <c r="AM31" s="72"/>
      <c r="AN31" s="122"/>
      <c r="AO31" s="70" t="s">
        <v>361</v>
      </c>
      <c r="AP31" s="81" t="s">
        <v>362</v>
      </c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</row>
    <row r="32" spans="1:55" ht="14.25" customHeight="1" x14ac:dyDescent="0.35">
      <c r="A32" s="137"/>
      <c r="B32" s="133"/>
      <c r="C32" s="80" t="s">
        <v>535</v>
      </c>
      <c r="D32" s="80" t="s">
        <v>542</v>
      </c>
      <c r="E32" s="80">
        <v>987</v>
      </c>
      <c r="F32" s="80"/>
      <c r="G32" s="133"/>
      <c r="H32" s="80">
        <v>1152</v>
      </c>
      <c r="I32" s="80"/>
      <c r="J32" s="133"/>
      <c r="K32" s="80">
        <v>1152</v>
      </c>
      <c r="L32" s="80"/>
      <c r="M32" s="80"/>
      <c r="N32" s="80">
        <v>1152</v>
      </c>
      <c r="O32" s="80"/>
      <c r="P32" s="80"/>
      <c r="Q32" s="108">
        <v>990</v>
      </c>
      <c r="R32" s="72"/>
      <c r="S32" s="118"/>
      <c r="T32" s="72">
        <v>1186</v>
      </c>
      <c r="U32" s="72"/>
      <c r="V32" s="118"/>
      <c r="W32" s="72"/>
      <c r="X32" s="72"/>
      <c r="Y32" s="118"/>
      <c r="Z32" s="72">
        <v>1288</v>
      </c>
      <c r="AA32" s="72"/>
      <c r="AB32" s="118"/>
      <c r="AC32" s="72"/>
      <c r="AD32" s="72"/>
      <c r="AE32" s="118"/>
      <c r="AF32" s="72"/>
      <c r="AG32" s="72"/>
      <c r="AH32" s="118"/>
      <c r="AI32" s="72"/>
      <c r="AJ32" s="72"/>
      <c r="AK32" s="118"/>
      <c r="AL32" s="72"/>
      <c r="AM32" s="72"/>
      <c r="AN32" s="118"/>
      <c r="AO32" s="70"/>
      <c r="AP32" s="81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</row>
    <row r="33" spans="1:55" ht="14.25" customHeight="1" x14ac:dyDescent="0.35">
      <c r="A33" s="137"/>
      <c r="B33" s="133"/>
      <c r="C33" s="80" t="s">
        <v>589</v>
      </c>
      <c r="D33" s="80" t="s">
        <v>590</v>
      </c>
      <c r="E33" s="80">
        <v>305</v>
      </c>
      <c r="F33" s="80"/>
      <c r="G33" s="133"/>
      <c r="H33" s="80">
        <v>300</v>
      </c>
      <c r="I33" s="80"/>
      <c r="J33" s="133"/>
      <c r="K33" s="80">
        <v>300</v>
      </c>
      <c r="L33" s="80"/>
      <c r="M33" s="80"/>
      <c r="N33" s="80">
        <v>266</v>
      </c>
      <c r="O33" s="80"/>
      <c r="P33" s="80"/>
      <c r="Q33" s="108">
        <v>284</v>
      </c>
      <c r="R33" s="72"/>
      <c r="S33" s="118"/>
      <c r="T33" s="72">
        <v>250</v>
      </c>
      <c r="U33" s="72"/>
      <c r="V33" s="118"/>
      <c r="W33" s="72"/>
      <c r="X33" s="72"/>
      <c r="Y33" s="118"/>
      <c r="Z33" s="72">
        <v>357</v>
      </c>
      <c r="AA33" s="72"/>
      <c r="AB33" s="118"/>
      <c r="AC33" s="72"/>
      <c r="AD33" s="72"/>
      <c r="AE33" s="118"/>
      <c r="AF33" s="72"/>
      <c r="AG33" s="72"/>
      <c r="AH33" s="118"/>
      <c r="AI33" s="72"/>
      <c r="AJ33" s="72"/>
      <c r="AK33" s="118"/>
      <c r="AL33" s="72"/>
      <c r="AM33" s="72"/>
      <c r="AN33" s="118"/>
      <c r="AO33" s="70"/>
      <c r="AP33" s="81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</row>
    <row r="34" spans="1:55" ht="14.25" customHeight="1" x14ac:dyDescent="0.35">
      <c r="A34" s="137"/>
      <c r="B34" s="133"/>
      <c r="C34" s="80" t="s">
        <v>588</v>
      </c>
      <c r="D34" s="80"/>
      <c r="E34" s="80" t="s">
        <v>714</v>
      </c>
      <c r="F34" s="80"/>
      <c r="G34" s="133"/>
      <c r="H34" s="80"/>
      <c r="I34" s="80"/>
      <c r="J34" s="133"/>
      <c r="K34" s="80"/>
      <c r="L34" s="80"/>
      <c r="M34" s="80"/>
      <c r="N34" s="80"/>
      <c r="O34" s="80"/>
      <c r="P34" s="80"/>
      <c r="Q34" s="108"/>
      <c r="R34" s="72"/>
      <c r="S34" s="118"/>
      <c r="T34" s="72"/>
      <c r="U34" s="72"/>
      <c r="V34" s="118"/>
      <c r="W34" s="72"/>
      <c r="X34" s="72"/>
      <c r="Y34" s="118"/>
      <c r="Z34" s="72" t="s">
        <v>666</v>
      </c>
      <c r="AA34" s="72"/>
      <c r="AB34" s="118"/>
      <c r="AC34" s="72"/>
      <c r="AD34" s="72"/>
      <c r="AE34" s="118"/>
      <c r="AF34" s="72"/>
      <c r="AG34" s="72"/>
      <c r="AH34" s="118"/>
      <c r="AI34" s="72"/>
      <c r="AJ34" s="72"/>
      <c r="AK34" s="118"/>
      <c r="AL34" s="72"/>
      <c r="AM34" s="72"/>
      <c r="AN34" s="118"/>
      <c r="AO34" s="70"/>
      <c r="AP34" s="81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</row>
    <row r="35" spans="1:55" ht="14.25" customHeight="1" x14ac:dyDescent="0.35">
      <c r="A35" s="137"/>
      <c r="B35" s="133"/>
      <c r="C35" s="80" t="s">
        <v>540</v>
      </c>
      <c r="D35" s="80"/>
      <c r="E35" s="80">
        <v>6</v>
      </c>
      <c r="F35" s="80"/>
      <c r="G35" s="133"/>
      <c r="H35" s="80">
        <v>6</v>
      </c>
      <c r="I35" s="80"/>
      <c r="J35" s="133"/>
      <c r="K35" s="80">
        <v>6</v>
      </c>
      <c r="L35" s="80"/>
      <c r="M35" s="80"/>
      <c r="N35" s="80">
        <v>6</v>
      </c>
      <c r="O35" s="80"/>
      <c r="P35" s="80"/>
      <c r="Q35" s="108">
        <v>6</v>
      </c>
      <c r="R35" s="72"/>
      <c r="S35" s="118"/>
      <c r="T35" s="72"/>
      <c r="U35" s="72"/>
      <c r="V35" s="118"/>
      <c r="W35" s="72"/>
      <c r="X35" s="72"/>
      <c r="Y35" s="118"/>
      <c r="Z35" s="72">
        <v>6</v>
      </c>
      <c r="AA35" s="72"/>
      <c r="AB35" s="118"/>
      <c r="AC35" s="72"/>
      <c r="AD35" s="72"/>
      <c r="AE35" s="118"/>
      <c r="AF35" s="72"/>
      <c r="AG35" s="72"/>
      <c r="AH35" s="118"/>
      <c r="AI35" s="72"/>
      <c r="AJ35" s="72"/>
      <c r="AK35" s="118"/>
      <c r="AL35" s="72"/>
      <c r="AM35" s="72"/>
      <c r="AN35" s="118"/>
      <c r="AO35" s="70"/>
      <c r="AP35" s="81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</row>
    <row r="36" spans="1:55" ht="14.25" customHeight="1" x14ac:dyDescent="0.35">
      <c r="A36" s="137"/>
      <c r="B36" s="133"/>
      <c r="C36" s="80" t="s">
        <v>541</v>
      </c>
      <c r="D36" s="80"/>
      <c r="E36" s="80">
        <v>3</v>
      </c>
      <c r="F36" s="80"/>
      <c r="G36" s="133"/>
      <c r="H36" s="80">
        <v>2</v>
      </c>
      <c r="I36" s="80"/>
      <c r="J36" s="133"/>
      <c r="K36" s="80">
        <v>2</v>
      </c>
      <c r="L36" s="80"/>
      <c r="M36" s="80"/>
      <c r="N36" s="80">
        <v>6</v>
      </c>
      <c r="O36" s="80"/>
      <c r="P36" s="80"/>
      <c r="Q36" s="108">
        <v>6</v>
      </c>
      <c r="R36" s="72"/>
      <c r="S36" s="118"/>
      <c r="T36" s="72"/>
      <c r="U36" s="72"/>
      <c r="V36" s="118"/>
      <c r="W36" s="72"/>
      <c r="X36" s="72"/>
      <c r="Y36" s="118"/>
      <c r="Z36" s="72">
        <v>6</v>
      </c>
      <c r="AA36" s="72"/>
      <c r="AB36" s="118"/>
      <c r="AC36" s="72"/>
      <c r="AD36" s="72"/>
      <c r="AE36" s="118"/>
      <c r="AF36" s="72"/>
      <c r="AG36" s="72"/>
      <c r="AH36" s="118"/>
      <c r="AI36" s="72"/>
      <c r="AJ36" s="72"/>
      <c r="AK36" s="118"/>
      <c r="AL36" s="72"/>
      <c r="AM36" s="72"/>
      <c r="AN36" s="118"/>
      <c r="AO36" s="70"/>
      <c r="AP36" s="81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</row>
    <row r="37" spans="1:55" ht="14.25" customHeight="1" x14ac:dyDescent="0.35">
      <c r="A37" s="137"/>
      <c r="B37" s="133"/>
      <c r="C37" s="80" t="s">
        <v>543</v>
      </c>
      <c r="D37" s="80" t="s">
        <v>544</v>
      </c>
      <c r="E37" s="80" t="s">
        <v>583</v>
      </c>
      <c r="F37" s="80"/>
      <c r="G37" s="133"/>
      <c r="H37" s="80" t="s">
        <v>583</v>
      </c>
      <c r="I37" s="80"/>
      <c r="J37" s="133"/>
      <c r="K37" s="80" t="s">
        <v>583</v>
      </c>
      <c r="L37" s="80"/>
      <c r="M37" s="80"/>
      <c r="N37" s="80" t="s">
        <v>583</v>
      </c>
      <c r="O37" s="80"/>
      <c r="P37" s="80"/>
      <c r="Q37" s="108" t="s">
        <v>583</v>
      </c>
      <c r="R37" s="72"/>
      <c r="S37" s="118"/>
      <c r="T37" s="72" t="s">
        <v>583</v>
      </c>
      <c r="U37" s="72"/>
      <c r="V37" s="118"/>
      <c r="W37" s="72"/>
      <c r="X37" s="72"/>
      <c r="Y37" s="118"/>
      <c r="Z37" s="72" t="s">
        <v>583</v>
      </c>
      <c r="AA37" s="72"/>
      <c r="AB37" s="118"/>
      <c r="AC37" s="72"/>
      <c r="AD37" s="72"/>
      <c r="AE37" s="118"/>
      <c r="AF37" s="72"/>
      <c r="AG37" s="72"/>
      <c r="AH37" s="118"/>
      <c r="AI37" s="72"/>
      <c r="AJ37" s="72"/>
      <c r="AK37" s="118"/>
      <c r="AL37" s="72"/>
      <c r="AM37" s="72"/>
      <c r="AN37" s="118"/>
      <c r="AO37" s="70"/>
      <c r="AP37" s="81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</row>
    <row r="38" spans="1:55" ht="14.25" customHeight="1" x14ac:dyDescent="0.35">
      <c r="A38" s="137"/>
      <c r="B38" s="133"/>
      <c r="C38" s="80" t="s">
        <v>593</v>
      </c>
      <c r="D38" s="80"/>
      <c r="E38" s="80">
        <v>2</v>
      </c>
      <c r="F38" s="80"/>
      <c r="G38" s="133"/>
      <c r="H38" s="80">
        <v>2</v>
      </c>
      <c r="I38" s="80"/>
      <c r="J38" s="133"/>
      <c r="K38" s="80">
        <v>2</v>
      </c>
      <c r="L38" s="80"/>
      <c r="M38" s="80"/>
      <c r="N38" s="80">
        <v>2</v>
      </c>
      <c r="O38" s="80"/>
      <c r="P38" s="80"/>
      <c r="Q38" s="108">
        <v>2</v>
      </c>
      <c r="R38" s="72"/>
      <c r="S38" s="118"/>
      <c r="T38" s="72">
        <v>2</v>
      </c>
      <c r="U38" s="72"/>
      <c r="V38" s="118"/>
      <c r="W38" s="72"/>
      <c r="X38" s="72"/>
      <c r="Y38" s="118"/>
      <c r="Z38" s="72">
        <v>2</v>
      </c>
      <c r="AA38" s="72"/>
      <c r="AB38" s="118"/>
      <c r="AC38" s="72"/>
      <c r="AD38" s="72"/>
      <c r="AE38" s="118"/>
      <c r="AF38" s="72"/>
      <c r="AG38" s="72"/>
      <c r="AH38" s="118"/>
      <c r="AI38" s="72"/>
      <c r="AJ38" s="72"/>
      <c r="AK38" s="118"/>
      <c r="AL38" s="72"/>
      <c r="AM38" s="72"/>
      <c r="AN38" s="118"/>
      <c r="AO38" s="70"/>
      <c r="AP38" s="81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</row>
    <row r="39" spans="1:55" ht="14.25" customHeight="1" x14ac:dyDescent="0.35">
      <c r="A39" s="137"/>
      <c r="B39" s="133"/>
      <c r="C39" s="80" t="s">
        <v>594</v>
      </c>
      <c r="D39" s="80"/>
      <c r="E39" s="80">
        <v>2</v>
      </c>
      <c r="F39" s="80"/>
      <c r="G39" s="133"/>
      <c r="H39" s="80">
        <v>2</v>
      </c>
      <c r="I39" s="80"/>
      <c r="J39" s="133"/>
      <c r="K39" s="80">
        <v>2</v>
      </c>
      <c r="L39" s="80"/>
      <c r="M39" s="80"/>
      <c r="N39" s="80">
        <v>2</v>
      </c>
      <c r="O39" s="80"/>
      <c r="P39" s="80"/>
      <c r="Q39" s="108">
        <v>2</v>
      </c>
      <c r="R39" s="72"/>
      <c r="S39" s="118"/>
      <c r="T39" s="72">
        <v>2</v>
      </c>
      <c r="U39" s="72"/>
      <c r="V39" s="118"/>
      <c r="W39" s="72"/>
      <c r="X39" s="72"/>
      <c r="Y39" s="118"/>
      <c r="Z39" s="72">
        <v>2</v>
      </c>
      <c r="AA39" s="72"/>
      <c r="AB39" s="118"/>
      <c r="AC39" s="72"/>
      <c r="AD39" s="72"/>
      <c r="AE39" s="118"/>
      <c r="AF39" s="72"/>
      <c r="AG39" s="72"/>
      <c r="AH39" s="118"/>
      <c r="AI39" s="72"/>
      <c r="AJ39" s="72"/>
      <c r="AK39" s="118"/>
      <c r="AL39" s="72"/>
      <c r="AM39" s="72"/>
      <c r="AN39" s="118"/>
      <c r="AO39" s="70"/>
      <c r="AP39" s="81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</row>
    <row r="40" spans="1:55" ht="14.25" customHeight="1" x14ac:dyDescent="0.35">
      <c r="A40" s="137"/>
      <c r="B40" s="133"/>
      <c r="C40" s="80" t="s">
        <v>595</v>
      </c>
      <c r="D40" s="80"/>
      <c r="E40" s="80">
        <v>2</v>
      </c>
      <c r="F40" s="80"/>
      <c r="G40" s="133"/>
      <c r="H40" s="80">
        <v>2</v>
      </c>
      <c r="I40" s="80"/>
      <c r="J40" s="133"/>
      <c r="K40" s="80">
        <v>2</v>
      </c>
      <c r="L40" s="80"/>
      <c r="M40" s="80"/>
      <c r="N40" s="80">
        <v>2</v>
      </c>
      <c r="O40" s="80"/>
      <c r="P40" s="80"/>
      <c r="Q40" s="108">
        <v>2</v>
      </c>
      <c r="R40" s="72"/>
      <c r="S40" s="118"/>
      <c r="T40" s="72">
        <v>2</v>
      </c>
      <c r="U40" s="72"/>
      <c r="V40" s="118"/>
      <c r="W40" s="72"/>
      <c r="X40" s="72"/>
      <c r="Y40" s="118"/>
      <c r="Z40" s="72">
        <v>2</v>
      </c>
      <c r="AA40" s="72"/>
      <c r="AB40" s="118"/>
      <c r="AC40" s="72"/>
      <c r="AD40" s="72"/>
      <c r="AE40" s="118"/>
      <c r="AF40" s="72"/>
      <c r="AG40" s="72"/>
      <c r="AH40" s="118"/>
      <c r="AI40" s="72"/>
      <c r="AJ40" s="72"/>
      <c r="AK40" s="118"/>
      <c r="AL40" s="72"/>
      <c r="AM40" s="72"/>
      <c r="AN40" s="118"/>
      <c r="AO40" s="70"/>
      <c r="AP40" s="81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</row>
    <row r="41" spans="1:55" x14ac:dyDescent="0.35">
      <c r="A41" s="137"/>
      <c r="B41" s="131"/>
      <c r="C41" s="80" t="s">
        <v>545</v>
      </c>
      <c r="D41" s="80" t="s">
        <v>544</v>
      </c>
      <c r="E41" s="72"/>
      <c r="F41" s="72"/>
      <c r="G41" s="131"/>
      <c r="H41" s="72"/>
      <c r="I41" s="72"/>
      <c r="J41" s="131"/>
      <c r="K41" s="72" t="s">
        <v>720</v>
      </c>
      <c r="L41" s="80"/>
      <c r="M41" s="80"/>
      <c r="N41" s="80" t="s">
        <v>651</v>
      </c>
      <c r="O41" s="80"/>
      <c r="P41" s="80"/>
      <c r="Q41" s="108"/>
      <c r="R41" s="72"/>
      <c r="S41" s="125"/>
      <c r="T41" s="72" t="s">
        <v>730</v>
      </c>
      <c r="U41" s="72"/>
      <c r="V41" s="125"/>
      <c r="W41" s="72"/>
      <c r="X41" s="72"/>
      <c r="Y41" s="125"/>
      <c r="Z41" s="72"/>
      <c r="AA41" s="72"/>
      <c r="AB41" s="125"/>
      <c r="AC41" s="72"/>
      <c r="AD41" s="72"/>
      <c r="AE41" s="125"/>
      <c r="AF41" s="72"/>
      <c r="AG41" s="72"/>
      <c r="AH41" s="125"/>
      <c r="AI41" s="72"/>
      <c r="AJ41" s="72"/>
      <c r="AK41" s="125"/>
      <c r="AL41" s="72"/>
      <c r="AM41" s="72"/>
      <c r="AN41" s="125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</row>
    <row r="42" spans="1:55" ht="13.9" customHeight="1" x14ac:dyDescent="0.35">
      <c r="A42" s="137"/>
      <c r="B42" s="126" t="s">
        <v>610</v>
      </c>
      <c r="C42" s="80" t="s">
        <v>538</v>
      </c>
      <c r="D42" s="80" t="s">
        <v>19</v>
      </c>
      <c r="E42" s="80">
        <v>60.65</v>
      </c>
      <c r="F42" s="80"/>
      <c r="G42" s="80"/>
      <c r="H42" s="80">
        <v>64.7</v>
      </c>
      <c r="I42" s="80"/>
      <c r="J42" s="80"/>
      <c r="K42" s="80">
        <v>64.7</v>
      </c>
      <c r="L42" s="80"/>
      <c r="M42" s="80"/>
      <c r="N42" s="80">
        <v>76.3</v>
      </c>
      <c r="O42" s="80"/>
      <c r="P42" s="80"/>
      <c r="Q42" s="109">
        <v>71.2</v>
      </c>
      <c r="R42" s="72"/>
      <c r="S42" s="72"/>
      <c r="T42" s="72">
        <v>67</v>
      </c>
      <c r="U42" s="72"/>
      <c r="V42" s="72"/>
      <c r="W42" s="72"/>
      <c r="X42" s="72"/>
      <c r="Y42" s="72"/>
      <c r="Z42" s="72">
        <v>69</v>
      </c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</row>
    <row r="43" spans="1:55" ht="13.9" customHeight="1" x14ac:dyDescent="0.35">
      <c r="A43" s="137"/>
      <c r="B43" s="126"/>
      <c r="C43" s="80" t="s">
        <v>539</v>
      </c>
      <c r="D43" s="80" t="s">
        <v>19</v>
      </c>
      <c r="E43" s="80">
        <v>60.65</v>
      </c>
      <c r="F43" s="80"/>
      <c r="G43" s="80"/>
      <c r="H43" s="80">
        <v>64.7</v>
      </c>
      <c r="I43" s="80"/>
      <c r="J43" s="80"/>
      <c r="K43" s="80">
        <v>64.7</v>
      </c>
      <c r="L43" s="80"/>
      <c r="M43" s="80"/>
      <c r="N43" s="80">
        <v>76.3</v>
      </c>
      <c r="O43" s="80"/>
      <c r="P43" s="80"/>
      <c r="Q43" s="109">
        <v>71.2</v>
      </c>
      <c r="R43" s="72"/>
      <c r="S43" s="72"/>
      <c r="T43" s="72">
        <v>67</v>
      </c>
      <c r="U43" s="72"/>
      <c r="V43" s="72"/>
      <c r="W43" s="72"/>
      <c r="X43" s="72"/>
      <c r="Y43" s="72"/>
      <c r="Z43" s="72">
        <v>69</v>
      </c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</row>
    <row r="44" spans="1:55" ht="13.9" customHeight="1" x14ac:dyDescent="0.35">
      <c r="A44" s="137"/>
      <c r="B44" s="126"/>
      <c r="C44" s="80" t="s">
        <v>569</v>
      </c>
      <c r="D44" s="80" t="s">
        <v>627</v>
      </c>
      <c r="E44" s="80">
        <v>150</v>
      </c>
      <c r="F44" s="80"/>
      <c r="G44" s="80"/>
      <c r="H44" s="80">
        <v>160</v>
      </c>
      <c r="I44" s="80"/>
      <c r="J44" s="80"/>
      <c r="K44" s="80">
        <v>160</v>
      </c>
      <c r="L44" s="80"/>
      <c r="M44" s="80"/>
      <c r="N44" s="80">
        <v>165</v>
      </c>
      <c r="O44" s="80"/>
      <c r="P44" s="80"/>
      <c r="Q44" s="109">
        <v>140</v>
      </c>
      <c r="R44" s="72"/>
      <c r="S44" s="72"/>
      <c r="T44" s="72">
        <v>103</v>
      </c>
      <c r="U44" s="72"/>
      <c r="V44" s="72"/>
      <c r="W44" s="72"/>
      <c r="X44" s="72"/>
      <c r="Y44" s="72"/>
      <c r="Z44" s="72">
        <v>150</v>
      </c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</row>
    <row r="45" spans="1:55" ht="15.75" customHeight="1" thickBot="1" x14ac:dyDescent="0.4">
      <c r="A45" s="137"/>
      <c r="B45" s="126"/>
      <c r="C45" s="80" t="s">
        <v>570</v>
      </c>
      <c r="D45" s="80" t="s">
        <v>627</v>
      </c>
      <c r="E45" s="80">
        <v>150</v>
      </c>
      <c r="F45" s="80"/>
      <c r="G45" s="80"/>
      <c r="H45" s="80">
        <v>160</v>
      </c>
      <c r="I45" s="80"/>
      <c r="J45" s="80"/>
      <c r="K45" s="80">
        <v>160</v>
      </c>
      <c r="L45" s="80"/>
      <c r="M45" s="80"/>
      <c r="N45" s="80">
        <v>165</v>
      </c>
      <c r="O45" s="80"/>
      <c r="P45" s="80"/>
      <c r="Q45" s="109">
        <v>140</v>
      </c>
      <c r="R45" s="72"/>
      <c r="S45" s="72"/>
      <c r="T45" s="72">
        <v>103</v>
      </c>
      <c r="U45" s="72"/>
      <c r="V45" s="72"/>
      <c r="W45" s="72"/>
      <c r="X45" s="72"/>
      <c r="Y45" s="72"/>
      <c r="Z45" s="72">
        <v>150</v>
      </c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</row>
    <row r="46" spans="1:55" ht="28.5" customHeight="1" x14ac:dyDescent="0.35">
      <c r="A46" s="137"/>
      <c r="B46" s="126" t="s">
        <v>546</v>
      </c>
      <c r="C46" s="80" t="s">
        <v>547</v>
      </c>
      <c r="D46" s="80" t="s">
        <v>0</v>
      </c>
      <c r="E46" s="72">
        <v>60000</v>
      </c>
      <c r="F46" s="72"/>
      <c r="G46" s="122"/>
      <c r="H46" s="72">
        <v>72574</v>
      </c>
      <c r="I46" s="72"/>
      <c r="J46" s="122"/>
      <c r="K46" s="72">
        <v>72574</v>
      </c>
      <c r="L46" s="72"/>
      <c r="M46" s="72"/>
      <c r="N46" s="72">
        <v>61235</v>
      </c>
      <c r="O46" s="72"/>
      <c r="P46" s="72"/>
      <c r="Q46" s="109">
        <v>63500</v>
      </c>
      <c r="R46" s="72"/>
      <c r="S46" s="122"/>
      <c r="T46" s="72">
        <v>58967</v>
      </c>
      <c r="U46" s="72"/>
      <c r="V46" s="122"/>
      <c r="W46" s="72"/>
      <c r="X46" s="72"/>
      <c r="Y46" s="122"/>
      <c r="Z46" s="72">
        <v>68040</v>
      </c>
      <c r="AA46" s="72"/>
      <c r="AB46" s="122"/>
      <c r="AC46" s="73"/>
      <c r="AD46" s="73"/>
      <c r="AE46" s="123"/>
      <c r="AF46" s="73"/>
      <c r="AG46" s="73"/>
      <c r="AH46" s="123"/>
      <c r="AI46" s="73"/>
      <c r="AJ46" s="73"/>
      <c r="AK46" s="123"/>
      <c r="AL46" s="72"/>
      <c r="AM46" s="72"/>
      <c r="AN46" s="122"/>
      <c r="AO46" s="70"/>
      <c r="AP46" s="86"/>
      <c r="AQ46" s="87" t="s">
        <v>4</v>
      </c>
      <c r="AR46" s="87" t="s">
        <v>5</v>
      </c>
      <c r="AS46" s="87" t="s">
        <v>6</v>
      </c>
      <c r="AT46" s="87" t="s">
        <v>7</v>
      </c>
      <c r="AU46" s="87" t="s">
        <v>8</v>
      </c>
      <c r="AV46" s="87" t="s">
        <v>9</v>
      </c>
      <c r="AW46" s="87" t="s">
        <v>10</v>
      </c>
      <c r="AX46" s="87" t="s">
        <v>11</v>
      </c>
      <c r="AY46" s="87" t="s">
        <v>12</v>
      </c>
      <c r="AZ46" s="87" t="s">
        <v>13</v>
      </c>
      <c r="BA46" s="88" t="s">
        <v>14</v>
      </c>
      <c r="BB46" s="70"/>
      <c r="BC46" s="70"/>
    </row>
    <row r="47" spans="1:55" ht="13.9" customHeight="1" x14ac:dyDescent="0.35">
      <c r="A47" s="137"/>
      <c r="B47" s="126"/>
      <c r="C47" s="80" t="s">
        <v>634</v>
      </c>
      <c r="D47" s="80" t="s">
        <v>0</v>
      </c>
      <c r="E47" s="80">
        <v>40000</v>
      </c>
      <c r="F47" s="80"/>
      <c r="G47" s="118"/>
      <c r="H47" s="80">
        <v>47583</v>
      </c>
      <c r="I47" s="80"/>
      <c r="J47" s="118"/>
      <c r="K47" s="72">
        <v>61280</v>
      </c>
      <c r="L47" s="72"/>
      <c r="M47" s="72"/>
      <c r="N47" s="72">
        <v>46946</v>
      </c>
      <c r="O47" s="72"/>
      <c r="P47" s="72"/>
      <c r="Q47" s="109">
        <v>45500</v>
      </c>
      <c r="R47" s="72"/>
      <c r="S47" s="118"/>
      <c r="T47" s="72">
        <v>54885</v>
      </c>
      <c r="U47" s="72"/>
      <c r="V47" s="118"/>
      <c r="W47" s="72"/>
      <c r="X47" s="72"/>
      <c r="Y47" s="118"/>
      <c r="Z47" s="72">
        <v>51800</v>
      </c>
      <c r="AA47" s="72"/>
      <c r="AB47" s="118"/>
      <c r="AC47" s="72"/>
      <c r="AD47" s="72"/>
      <c r="AE47" s="121"/>
      <c r="AF47" s="72"/>
      <c r="AG47" s="72"/>
      <c r="AH47" s="121"/>
      <c r="AI47" s="72"/>
      <c r="AJ47" s="72"/>
      <c r="AK47" s="121"/>
      <c r="AL47" s="72"/>
      <c r="AM47" s="72"/>
      <c r="AN47" s="118"/>
      <c r="AO47" s="70"/>
      <c r="AP47" s="89" t="s">
        <v>320</v>
      </c>
      <c r="AQ47" s="90">
        <v>2</v>
      </c>
      <c r="AR47" s="90">
        <v>3</v>
      </c>
      <c r="AS47" s="90">
        <v>2.5</v>
      </c>
      <c r="AT47" s="90">
        <v>3</v>
      </c>
      <c r="AU47" s="90">
        <v>2</v>
      </c>
      <c r="AV47" s="90">
        <v>3.5</v>
      </c>
      <c r="AW47" s="90">
        <v>3</v>
      </c>
      <c r="AX47" s="90">
        <v>3.5</v>
      </c>
      <c r="AY47" s="90">
        <v>2.5</v>
      </c>
      <c r="AZ47" s="90">
        <v>2.5</v>
      </c>
      <c r="BA47" s="91">
        <v>2.5</v>
      </c>
      <c r="BB47" s="70"/>
      <c r="BC47" s="70"/>
    </row>
    <row r="48" spans="1:55" ht="13.9" customHeight="1" x14ac:dyDescent="0.35">
      <c r="A48" s="137"/>
      <c r="B48" s="126"/>
      <c r="C48" s="80" t="s">
        <v>693</v>
      </c>
      <c r="D48" s="80" t="s">
        <v>0</v>
      </c>
      <c r="E48" s="80">
        <v>15612</v>
      </c>
      <c r="F48" s="80"/>
      <c r="G48" s="118"/>
      <c r="H48" s="80">
        <v>9707</v>
      </c>
      <c r="I48" s="80"/>
      <c r="J48" s="118"/>
      <c r="K48" s="72">
        <v>13653</v>
      </c>
      <c r="L48" s="72"/>
      <c r="M48" s="72"/>
      <c r="N48" s="72">
        <v>10795</v>
      </c>
      <c r="O48" s="72"/>
      <c r="P48" s="72"/>
      <c r="Q48" s="109">
        <v>10200</v>
      </c>
      <c r="R48" s="72"/>
      <c r="S48" s="118"/>
      <c r="T48" s="72">
        <v>11521</v>
      </c>
      <c r="U48" s="72"/>
      <c r="V48" s="118"/>
      <c r="W48" s="72"/>
      <c r="X48" s="72"/>
      <c r="Y48" s="118"/>
      <c r="Z48" s="72">
        <v>9707</v>
      </c>
      <c r="AA48" s="72"/>
      <c r="AB48" s="118"/>
      <c r="AC48" s="72"/>
      <c r="AD48" s="72"/>
      <c r="AE48" s="121"/>
      <c r="AF48" s="72"/>
      <c r="AG48" s="72"/>
      <c r="AH48" s="121"/>
      <c r="AI48" s="72"/>
      <c r="AJ48" s="72"/>
      <c r="AK48" s="121"/>
      <c r="AL48" s="72"/>
      <c r="AM48" s="72"/>
      <c r="AN48" s="118"/>
      <c r="AO48" s="70"/>
      <c r="AP48" s="89" t="s">
        <v>324</v>
      </c>
      <c r="AQ48" s="90">
        <v>3</v>
      </c>
      <c r="AR48" s="90">
        <v>3</v>
      </c>
      <c r="AS48" s="90">
        <v>3</v>
      </c>
      <c r="AT48" s="90">
        <v>3</v>
      </c>
      <c r="AU48" s="90">
        <v>3</v>
      </c>
      <c r="AV48" s="90">
        <v>3</v>
      </c>
      <c r="AW48" s="90">
        <v>3</v>
      </c>
      <c r="AX48" s="90">
        <v>3</v>
      </c>
      <c r="AY48" s="90">
        <v>3</v>
      </c>
      <c r="AZ48" s="90">
        <v>3</v>
      </c>
      <c r="BA48" s="91">
        <v>3</v>
      </c>
      <c r="BB48" s="70"/>
      <c r="BC48" s="70"/>
    </row>
    <row r="49" spans="1:55" ht="13.9" customHeight="1" x14ac:dyDescent="0.35">
      <c r="A49" s="137"/>
      <c r="B49" s="126"/>
      <c r="C49" s="80" t="s">
        <v>636</v>
      </c>
      <c r="D49" s="80" t="s">
        <v>0</v>
      </c>
      <c r="E49" s="80">
        <v>2800</v>
      </c>
      <c r="F49" s="80"/>
      <c r="G49" s="118"/>
      <c r="H49" s="80">
        <v>2676</v>
      </c>
      <c r="I49" s="80"/>
      <c r="J49" s="118"/>
      <c r="K49" s="72">
        <v>4173</v>
      </c>
      <c r="L49" s="72"/>
      <c r="M49" s="72"/>
      <c r="N49" s="72">
        <v>2740</v>
      </c>
      <c r="O49" s="72"/>
      <c r="P49" s="72"/>
      <c r="Q49" s="109">
        <v>3750</v>
      </c>
      <c r="R49" s="72"/>
      <c r="S49" s="118"/>
      <c r="T49" s="72">
        <v>2812</v>
      </c>
      <c r="U49" s="72"/>
      <c r="V49" s="118"/>
      <c r="W49" s="72"/>
      <c r="X49" s="72"/>
      <c r="Y49" s="118"/>
      <c r="Z49" s="72">
        <v>2631</v>
      </c>
      <c r="AA49" s="72"/>
      <c r="AB49" s="118"/>
      <c r="AC49" s="72"/>
      <c r="AD49" s="72"/>
      <c r="AE49" s="121"/>
      <c r="AF49" s="72"/>
      <c r="AG49" s="72"/>
      <c r="AH49" s="121"/>
      <c r="AI49" s="72"/>
      <c r="AJ49" s="72"/>
      <c r="AK49" s="121"/>
      <c r="AL49" s="72"/>
      <c r="AM49" s="72"/>
      <c r="AN49" s="118"/>
      <c r="AO49" s="70"/>
      <c r="AP49" s="89" t="s">
        <v>374</v>
      </c>
      <c r="AQ49" s="90">
        <v>3.3</v>
      </c>
      <c r="AR49" s="90">
        <v>3</v>
      </c>
      <c r="AS49" s="90">
        <v>2.2999999999999998</v>
      </c>
      <c r="AT49" s="90">
        <v>3.3</v>
      </c>
      <c r="AU49" s="90">
        <v>5</v>
      </c>
      <c r="AV49" s="90">
        <v>2.2999999999999998</v>
      </c>
      <c r="AW49" s="90">
        <v>2.2999999999999998</v>
      </c>
      <c r="AX49" s="90">
        <v>2.2000000000000002</v>
      </c>
      <c r="AY49" s="90">
        <v>3</v>
      </c>
      <c r="AZ49" s="90">
        <v>3</v>
      </c>
      <c r="BA49" s="91">
        <v>3.8</v>
      </c>
      <c r="BB49" s="70"/>
      <c r="BC49" s="70"/>
    </row>
    <row r="50" spans="1:55" ht="13.9" customHeight="1" x14ac:dyDescent="0.35">
      <c r="A50" s="137"/>
      <c r="B50" s="126"/>
      <c r="C50" s="80" t="s">
        <v>567</v>
      </c>
      <c r="D50" s="80" t="s">
        <v>142</v>
      </c>
      <c r="E50" s="80">
        <v>30</v>
      </c>
      <c r="F50" s="80"/>
      <c r="G50" s="118"/>
      <c r="H50" s="80">
        <v>39.6</v>
      </c>
      <c r="I50" s="80"/>
      <c r="J50" s="118"/>
      <c r="K50" s="72">
        <v>47</v>
      </c>
      <c r="L50" s="72"/>
      <c r="M50" s="72"/>
      <c r="N50" s="72">
        <v>39.6</v>
      </c>
      <c r="O50" s="72"/>
      <c r="P50" s="72"/>
      <c r="Q50" s="72">
        <v>38</v>
      </c>
      <c r="R50" s="72"/>
      <c r="S50" s="118"/>
      <c r="T50" s="72">
        <v>36</v>
      </c>
      <c r="U50" s="72"/>
      <c r="V50" s="118"/>
      <c r="W50" s="72"/>
      <c r="X50" s="72"/>
      <c r="Y50" s="118"/>
      <c r="Z50" s="72">
        <v>38</v>
      </c>
      <c r="AA50" s="72"/>
      <c r="AB50" s="118"/>
      <c r="AC50" s="72"/>
      <c r="AD50" s="72"/>
      <c r="AE50" s="121"/>
      <c r="AF50" s="72"/>
      <c r="AG50" s="72"/>
      <c r="AH50" s="121"/>
      <c r="AI50" s="72"/>
      <c r="AJ50" s="72"/>
      <c r="AK50" s="121"/>
      <c r="AL50" s="72"/>
      <c r="AM50" s="72"/>
      <c r="AN50" s="118"/>
      <c r="AO50" s="70"/>
      <c r="AP50" s="89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1"/>
      <c r="BB50" s="70"/>
      <c r="BC50" s="70"/>
    </row>
    <row r="51" spans="1:55" ht="13.9" customHeight="1" x14ac:dyDescent="0.35">
      <c r="A51" s="137"/>
      <c r="B51" s="126"/>
      <c r="C51" s="80" t="s">
        <v>602</v>
      </c>
      <c r="D51" s="80" t="s">
        <v>0</v>
      </c>
      <c r="E51" s="80">
        <v>2800</v>
      </c>
      <c r="F51" s="80"/>
      <c r="G51" s="118"/>
      <c r="H51" s="80">
        <v>952</v>
      </c>
      <c r="I51" s="80"/>
      <c r="J51" s="118"/>
      <c r="K51" s="72">
        <v>590</v>
      </c>
      <c r="L51" s="72"/>
      <c r="M51" s="72"/>
      <c r="N51" s="72">
        <v>885</v>
      </c>
      <c r="O51" s="72"/>
      <c r="P51" s="72"/>
      <c r="Q51" s="72">
        <v>700</v>
      </c>
      <c r="R51" s="72"/>
      <c r="S51" s="118"/>
      <c r="T51" s="72">
        <v>907</v>
      </c>
      <c r="U51" s="72"/>
      <c r="V51" s="118"/>
      <c r="W51" s="72"/>
      <c r="X51" s="72"/>
      <c r="Y51" s="118"/>
      <c r="Z51" s="72">
        <v>725</v>
      </c>
      <c r="AA51" s="72"/>
      <c r="AB51" s="118"/>
      <c r="AC51" s="72"/>
      <c r="AD51" s="72"/>
      <c r="AE51" s="121"/>
      <c r="AF51" s="72"/>
      <c r="AG51" s="72"/>
      <c r="AH51" s="121"/>
      <c r="AI51" s="72"/>
      <c r="AJ51" s="72"/>
      <c r="AK51" s="121"/>
      <c r="AL51" s="72"/>
      <c r="AM51" s="72"/>
      <c r="AN51" s="118"/>
      <c r="AO51" s="70"/>
      <c r="AP51" s="89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1"/>
      <c r="BB51" s="70"/>
      <c r="BC51" s="70"/>
    </row>
    <row r="52" spans="1:55" ht="13.9" customHeight="1" x14ac:dyDescent="0.35">
      <c r="A52" s="137"/>
      <c r="B52" s="126"/>
      <c r="C52" s="80" t="s">
        <v>638</v>
      </c>
      <c r="D52" s="80" t="s">
        <v>0</v>
      </c>
      <c r="E52" s="80">
        <v>3900</v>
      </c>
      <c r="F52" s="80"/>
      <c r="G52" s="118"/>
      <c r="H52" s="80">
        <v>5262</v>
      </c>
      <c r="I52" s="80"/>
      <c r="J52" s="118"/>
      <c r="K52" s="72">
        <v>6622</v>
      </c>
      <c r="L52" s="72"/>
      <c r="M52" s="72"/>
      <c r="N52" s="72">
        <v>4145</v>
      </c>
      <c r="O52" s="72"/>
      <c r="P52" s="72"/>
      <c r="Q52" s="72">
        <v>5150</v>
      </c>
      <c r="R52" s="72"/>
      <c r="S52" s="118"/>
      <c r="T52" s="72">
        <v>3583</v>
      </c>
      <c r="U52" s="72"/>
      <c r="V52" s="118"/>
      <c r="W52" s="72"/>
      <c r="X52" s="72"/>
      <c r="Y52" s="118"/>
      <c r="Z52" s="72">
        <v>7700</v>
      </c>
      <c r="AA52" s="72"/>
      <c r="AB52" s="118"/>
      <c r="AC52" s="72"/>
      <c r="AD52" s="72"/>
      <c r="AE52" s="121"/>
      <c r="AF52" s="72"/>
      <c r="AG52" s="72"/>
      <c r="AH52" s="121"/>
      <c r="AI52" s="72"/>
      <c r="AJ52" s="72"/>
      <c r="AK52" s="121"/>
      <c r="AL52" s="72"/>
      <c r="AM52" s="72"/>
      <c r="AN52" s="118"/>
      <c r="AO52" s="70"/>
      <c r="AP52" s="89" t="s">
        <v>330</v>
      </c>
      <c r="AQ52" s="90">
        <v>5</v>
      </c>
      <c r="AR52" s="90">
        <v>5</v>
      </c>
      <c r="AS52" s="90">
        <v>5</v>
      </c>
      <c r="AT52" s="90">
        <v>3</v>
      </c>
      <c r="AU52" s="90">
        <v>1</v>
      </c>
      <c r="AV52" s="90">
        <v>1</v>
      </c>
      <c r="AW52" s="90">
        <v>1</v>
      </c>
      <c r="AX52" s="90">
        <v>1</v>
      </c>
      <c r="AY52" s="90">
        <v>1</v>
      </c>
      <c r="AZ52" s="90">
        <v>1</v>
      </c>
      <c r="BA52" s="91">
        <v>3</v>
      </c>
      <c r="BB52" s="70"/>
      <c r="BC52" s="70"/>
    </row>
    <row r="53" spans="1:55" ht="13.9" customHeight="1" x14ac:dyDescent="0.35">
      <c r="A53" s="137"/>
      <c r="B53" s="126"/>
      <c r="C53" s="80" t="s">
        <v>674</v>
      </c>
      <c r="D53" s="80" t="s">
        <v>0</v>
      </c>
      <c r="E53" s="80">
        <v>2000</v>
      </c>
      <c r="F53" s="80"/>
      <c r="G53" s="118"/>
      <c r="H53" s="80">
        <v>2721</v>
      </c>
      <c r="I53" s="80"/>
      <c r="J53" s="118"/>
      <c r="K53" s="72">
        <v>4218</v>
      </c>
      <c r="L53" s="72"/>
      <c r="M53" s="72"/>
      <c r="N53" s="72">
        <v>2934</v>
      </c>
      <c r="O53" s="72"/>
      <c r="P53" s="72"/>
      <c r="Q53" s="72">
        <v>2850</v>
      </c>
      <c r="R53" s="72"/>
      <c r="S53" s="118"/>
      <c r="T53" s="72">
        <v>1905</v>
      </c>
      <c r="U53" s="72"/>
      <c r="V53" s="118"/>
      <c r="W53" s="72"/>
      <c r="X53" s="72"/>
      <c r="Y53" s="118"/>
      <c r="Z53" s="72">
        <v>2359</v>
      </c>
      <c r="AA53" s="72"/>
      <c r="AB53" s="118"/>
      <c r="AC53" s="72"/>
      <c r="AD53" s="72"/>
      <c r="AE53" s="121"/>
      <c r="AF53" s="72"/>
      <c r="AG53" s="72"/>
      <c r="AH53" s="121"/>
      <c r="AI53" s="72"/>
      <c r="AJ53" s="72"/>
      <c r="AK53" s="121"/>
      <c r="AL53" s="72"/>
      <c r="AM53" s="72"/>
      <c r="AN53" s="118"/>
      <c r="AO53" s="70"/>
      <c r="AP53" s="89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1"/>
      <c r="BB53" s="70"/>
      <c r="BC53" s="70"/>
    </row>
    <row r="54" spans="1:55" ht="13.9" customHeight="1" x14ac:dyDescent="0.35">
      <c r="A54" s="137"/>
      <c r="B54" s="126"/>
      <c r="C54" s="80" t="s">
        <v>562</v>
      </c>
      <c r="D54" s="80" t="s">
        <v>142</v>
      </c>
      <c r="E54" s="80">
        <v>32</v>
      </c>
      <c r="F54" s="80"/>
      <c r="G54" s="118"/>
      <c r="H54" s="80">
        <v>48.7</v>
      </c>
      <c r="I54" s="80"/>
      <c r="J54" s="118"/>
      <c r="K54" s="72">
        <v>56.4</v>
      </c>
      <c r="L54" s="72"/>
      <c r="M54" s="72"/>
      <c r="N54" s="72">
        <v>47</v>
      </c>
      <c r="O54" s="72"/>
      <c r="P54" s="72"/>
      <c r="Q54" s="108">
        <v>46</v>
      </c>
      <c r="R54" s="72"/>
      <c r="S54" s="118"/>
      <c r="T54" s="72">
        <v>47</v>
      </c>
      <c r="U54" s="72"/>
      <c r="V54" s="118"/>
      <c r="W54" s="72"/>
      <c r="X54" s="72"/>
      <c r="Y54" s="118"/>
      <c r="Z54" s="72">
        <v>45.3</v>
      </c>
      <c r="AA54" s="72"/>
      <c r="AB54" s="118"/>
      <c r="AC54" s="72"/>
      <c r="AD54" s="72"/>
      <c r="AE54" s="121"/>
      <c r="AF54" s="72"/>
      <c r="AG54" s="72"/>
      <c r="AH54" s="121"/>
      <c r="AI54" s="72"/>
      <c r="AJ54" s="72"/>
      <c r="AK54" s="121"/>
      <c r="AL54" s="72"/>
      <c r="AM54" s="72"/>
      <c r="AN54" s="118"/>
      <c r="AO54" s="70"/>
      <c r="AP54" s="89" t="s">
        <v>333</v>
      </c>
      <c r="AQ54" s="90">
        <v>3.3</v>
      </c>
      <c r="AR54" s="90">
        <v>3.6</v>
      </c>
      <c r="AS54" s="90">
        <v>3.6</v>
      </c>
      <c r="AT54" s="90">
        <v>3</v>
      </c>
      <c r="AU54" s="90">
        <v>3</v>
      </c>
      <c r="AV54" s="90">
        <v>2.2999999999999998</v>
      </c>
      <c r="AW54" s="90">
        <v>2.2999999999999998</v>
      </c>
      <c r="AX54" s="90">
        <v>1.7</v>
      </c>
      <c r="AY54" s="90">
        <v>2.7</v>
      </c>
      <c r="AZ54" s="90">
        <v>2</v>
      </c>
      <c r="BA54" s="91">
        <v>3.8</v>
      </c>
      <c r="BB54" s="70"/>
      <c r="BC54" s="70"/>
    </row>
    <row r="55" spans="1:55" ht="13.9" customHeight="1" x14ac:dyDescent="0.35">
      <c r="A55" s="137"/>
      <c r="B55" s="126"/>
      <c r="C55" s="80" t="s">
        <v>603</v>
      </c>
      <c r="D55" s="80" t="s">
        <v>0</v>
      </c>
      <c r="E55" s="80">
        <v>18200</v>
      </c>
      <c r="F55" s="80"/>
      <c r="G55" s="118"/>
      <c r="H55" s="80">
        <v>29710</v>
      </c>
      <c r="I55" s="80"/>
      <c r="J55" s="118"/>
      <c r="K55" s="72">
        <v>30663</v>
      </c>
      <c r="L55" s="72"/>
      <c r="M55" s="72"/>
      <c r="N55" s="72">
        <v>13313</v>
      </c>
      <c r="O55" s="72"/>
      <c r="P55" s="72"/>
      <c r="Q55" s="109">
        <v>31350</v>
      </c>
      <c r="R55" s="72"/>
      <c r="S55" s="118"/>
      <c r="T55" s="72">
        <v>15286</v>
      </c>
      <c r="U55" s="72"/>
      <c r="V55" s="118"/>
      <c r="W55" s="72"/>
      <c r="X55" s="72"/>
      <c r="Y55" s="118"/>
      <c r="Z55" s="72">
        <v>52500</v>
      </c>
      <c r="AA55" s="72"/>
      <c r="AB55" s="118"/>
      <c r="AC55" s="72"/>
      <c r="AD55" s="72"/>
      <c r="AE55" s="121"/>
      <c r="AF55" s="72"/>
      <c r="AG55" s="72"/>
      <c r="AH55" s="121"/>
      <c r="AI55" s="72"/>
      <c r="AJ55" s="72"/>
      <c r="AK55" s="121"/>
      <c r="AL55" s="72"/>
      <c r="AM55" s="72"/>
      <c r="AN55" s="118"/>
      <c r="AO55" s="70"/>
      <c r="AP55" s="89" t="s">
        <v>336</v>
      </c>
      <c r="AQ55" s="90">
        <v>3</v>
      </c>
      <c r="AR55" s="90">
        <v>3.5</v>
      </c>
      <c r="AS55" s="90">
        <v>3.5</v>
      </c>
      <c r="AT55" s="90">
        <v>4</v>
      </c>
      <c r="AU55" s="90">
        <v>2</v>
      </c>
      <c r="AV55" s="90">
        <v>3</v>
      </c>
      <c r="AW55" s="90">
        <v>4.3</v>
      </c>
      <c r="AX55" s="90">
        <v>2</v>
      </c>
      <c r="AY55" s="90">
        <v>2.2999999999999998</v>
      </c>
      <c r="AZ55" s="90">
        <v>2</v>
      </c>
      <c r="BA55" s="91">
        <v>2</v>
      </c>
      <c r="BB55" s="70"/>
      <c r="BC55" s="70"/>
    </row>
    <row r="56" spans="1:55" ht="13.9" customHeight="1" x14ac:dyDescent="0.35">
      <c r="A56" s="137"/>
      <c r="B56" s="126"/>
      <c r="C56" s="80" t="s">
        <v>694</v>
      </c>
      <c r="D56" s="80" t="s">
        <v>0</v>
      </c>
      <c r="E56" s="72">
        <v>7300</v>
      </c>
      <c r="F56" s="72"/>
      <c r="G56" s="118"/>
      <c r="H56" s="80">
        <v>11884</v>
      </c>
      <c r="I56" s="80"/>
      <c r="J56" s="118"/>
      <c r="K56" s="72">
        <v>14242</v>
      </c>
      <c r="L56" s="72"/>
      <c r="M56" s="72"/>
      <c r="N56" s="72">
        <v>8902</v>
      </c>
      <c r="O56" s="72"/>
      <c r="P56" s="72"/>
      <c r="Q56" s="108">
        <v>16850</v>
      </c>
      <c r="R56" s="72"/>
      <c r="S56" s="118"/>
      <c r="T56" s="72">
        <v>6400</v>
      </c>
      <c r="U56" s="72"/>
      <c r="V56" s="118"/>
      <c r="W56" s="72"/>
      <c r="X56" s="72"/>
      <c r="Y56" s="118"/>
      <c r="Z56" s="72">
        <v>9298</v>
      </c>
      <c r="AA56" s="72"/>
      <c r="AB56" s="118"/>
      <c r="AC56" s="72"/>
      <c r="AD56" s="72"/>
      <c r="AE56" s="121"/>
      <c r="AF56" s="72"/>
      <c r="AG56" s="72"/>
      <c r="AH56" s="121"/>
      <c r="AI56" s="72"/>
      <c r="AJ56" s="72"/>
      <c r="AK56" s="121"/>
      <c r="AL56" s="72"/>
      <c r="AM56" s="72"/>
      <c r="AN56" s="118"/>
      <c r="AO56" s="70"/>
      <c r="AP56" s="89" t="s">
        <v>339</v>
      </c>
      <c r="AQ56" s="90">
        <v>3</v>
      </c>
      <c r="AR56" s="90">
        <v>3</v>
      </c>
      <c r="AS56" s="90">
        <v>3</v>
      </c>
      <c r="AT56" s="90">
        <v>3</v>
      </c>
      <c r="AU56" s="90">
        <v>3</v>
      </c>
      <c r="AV56" s="90">
        <v>3</v>
      </c>
      <c r="AW56" s="90">
        <v>3</v>
      </c>
      <c r="AX56" s="90">
        <v>3</v>
      </c>
      <c r="AY56" s="90">
        <v>1</v>
      </c>
      <c r="AZ56" s="90">
        <v>1</v>
      </c>
      <c r="BA56" s="91">
        <v>5</v>
      </c>
      <c r="BB56" s="70"/>
      <c r="BC56" s="70"/>
    </row>
    <row r="57" spans="1:55" ht="15" customHeight="1" x14ac:dyDescent="0.35">
      <c r="A57" s="137"/>
      <c r="B57" s="126"/>
      <c r="C57" s="9" t="s">
        <v>551</v>
      </c>
      <c r="D57" s="80" t="s">
        <v>0</v>
      </c>
      <c r="E57" s="72">
        <v>8300</v>
      </c>
      <c r="F57" s="72"/>
      <c r="G57" s="125"/>
      <c r="H57" s="80">
        <v>15376</v>
      </c>
      <c r="I57" s="80"/>
      <c r="J57" s="125"/>
      <c r="K57" s="72">
        <v>19776</v>
      </c>
      <c r="L57" s="72"/>
      <c r="M57" s="72"/>
      <c r="N57" s="72">
        <v>11400</v>
      </c>
      <c r="O57" s="72"/>
      <c r="P57" s="72"/>
      <c r="Q57" s="109">
        <v>22400</v>
      </c>
      <c r="R57" s="72"/>
      <c r="S57" s="125"/>
      <c r="T57" s="72">
        <v>9888</v>
      </c>
      <c r="U57" s="72"/>
      <c r="V57" s="125"/>
      <c r="W57" s="72"/>
      <c r="X57" s="72"/>
      <c r="Y57" s="125"/>
      <c r="Z57" s="72">
        <v>12927</v>
      </c>
      <c r="AA57" s="72"/>
      <c r="AB57" s="125"/>
      <c r="AC57" s="72"/>
      <c r="AD57" s="72"/>
      <c r="AE57" s="132"/>
      <c r="AF57" s="72"/>
      <c r="AG57" s="72"/>
      <c r="AH57" s="132"/>
      <c r="AI57" s="72"/>
      <c r="AJ57" s="72"/>
      <c r="AK57" s="132"/>
      <c r="AL57" s="72"/>
      <c r="AM57" s="72"/>
      <c r="AN57" s="125"/>
      <c r="AO57" s="70"/>
      <c r="AP57" s="89" t="s">
        <v>342</v>
      </c>
      <c r="AQ57" s="90">
        <v>4</v>
      </c>
      <c r="AR57" s="90">
        <v>4</v>
      </c>
      <c r="AS57" s="90">
        <v>5</v>
      </c>
      <c r="AT57" s="90">
        <v>4</v>
      </c>
      <c r="AU57" s="90">
        <v>4</v>
      </c>
      <c r="AV57" s="90">
        <v>2</v>
      </c>
      <c r="AW57" s="90">
        <v>2</v>
      </c>
      <c r="AX57" s="90">
        <v>1</v>
      </c>
      <c r="AY57" s="90">
        <v>3</v>
      </c>
      <c r="AZ57" s="90">
        <v>3</v>
      </c>
      <c r="BA57" s="91">
        <v>2</v>
      </c>
      <c r="BB57" s="70"/>
      <c r="BC57" s="70"/>
    </row>
    <row r="58" spans="1:55" ht="13.9" customHeight="1" x14ac:dyDescent="0.35">
      <c r="A58" s="137"/>
      <c r="B58" s="127" t="s">
        <v>568</v>
      </c>
      <c r="C58" s="80" t="s">
        <v>385</v>
      </c>
      <c r="D58" s="80" t="s">
        <v>22</v>
      </c>
      <c r="E58" s="80">
        <v>1.5</v>
      </c>
      <c r="F58" s="80"/>
      <c r="G58" s="130"/>
      <c r="H58" s="80">
        <v>1.5</v>
      </c>
      <c r="I58" s="80"/>
      <c r="J58" s="130"/>
      <c r="K58" s="80">
        <v>1.5</v>
      </c>
      <c r="L58" s="80"/>
      <c r="M58" s="80"/>
      <c r="N58" s="80"/>
      <c r="O58" s="80"/>
      <c r="P58" s="80"/>
      <c r="Q58" s="72">
        <v>1.9</v>
      </c>
      <c r="R58" s="72"/>
      <c r="S58" s="122"/>
      <c r="T58" s="72">
        <v>1</v>
      </c>
      <c r="U58" s="72"/>
      <c r="V58" s="122"/>
      <c r="W58" s="72">
        <v>2.5</v>
      </c>
      <c r="X58" s="72"/>
      <c r="Y58" s="120"/>
      <c r="Z58" s="72">
        <v>1.8</v>
      </c>
      <c r="AA58" s="72"/>
      <c r="AB58" s="122"/>
      <c r="AC58" s="72"/>
      <c r="AD58" s="72"/>
      <c r="AE58" s="122"/>
      <c r="AF58" s="72"/>
      <c r="AG58" s="72"/>
      <c r="AH58" s="122"/>
      <c r="AI58" s="72"/>
      <c r="AJ58" s="72"/>
      <c r="AK58" s="122"/>
      <c r="AL58" s="72"/>
      <c r="AM58" s="72"/>
      <c r="AN58" s="122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</row>
    <row r="59" spans="1:55" ht="13.9" customHeight="1" x14ac:dyDescent="0.35">
      <c r="A59" s="137"/>
      <c r="B59" s="128"/>
      <c r="C59" s="80" t="s">
        <v>565</v>
      </c>
      <c r="D59" s="80" t="s">
        <v>564</v>
      </c>
      <c r="E59" s="80">
        <v>50</v>
      </c>
      <c r="F59" s="80"/>
      <c r="G59" s="133"/>
      <c r="H59" s="80">
        <v>85</v>
      </c>
      <c r="I59" s="80"/>
      <c r="J59" s="133"/>
      <c r="K59" s="80">
        <v>85</v>
      </c>
      <c r="L59" s="80"/>
      <c r="M59" s="80"/>
      <c r="N59" s="80"/>
      <c r="O59" s="80"/>
      <c r="P59" s="80"/>
      <c r="Q59" s="72"/>
      <c r="R59" s="72"/>
      <c r="S59" s="118"/>
      <c r="T59" s="72">
        <v>70</v>
      </c>
      <c r="U59" s="72"/>
      <c r="V59" s="118"/>
      <c r="W59" s="72">
        <v>58</v>
      </c>
      <c r="X59" s="72"/>
      <c r="Y59" s="120"/>
      <c r="Z59" s="72">
        <v>50</v>
      </c>
      <c r="AA59" s="72"/>
      <c r="AB59" s="118"/>
      <c r="AC59" s="72"/>
      <c r="AD59" s="72"/>
      <c r="AE59" s="118"/>
      <c r="AF59" s="72"/>
      <c r="AG59" s="72"/>
      <c r="AH59" s="118"/>
      <c r="AI59" s="72"/>
      <c r="AJ59" s="72"/>
      <c r="AK59" s="118"/>
      <c r="AL59" s="72"/>
      <c r="AM59" s="72"/>
      <c r="AN59" s="118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</row>
    <row r="60" spans="1:55" ht="13.9" customHeight="1" x14ac:dyDescent="0.35">
      <c r="A60" s="137"/>
      <c r="B60" s="128"/>
      <c r="C60" s="80" t="s">
        <v>566</v>
      </c>
      <c r="D60" s="80" t="s">
        <v>564</v>
      </c>
      <c r="E60" s="80">
        <v>90</v>
      </c>
      <c r="F60" s="80"/>
      <c r="G60" s="133"/>
      <c r="H60" s="80">
        <v>142</v>
      </c>
      <c r="I60" s="80"/>
      <c r="J60" s="133"/>
      <c r="K60" s="80">
        <v>170</v>
      </c>
      <c r="L60" s="80"/>
      <c r="M60" s="80"/>
      <c r="N60" s="80"/>
      <c r="O60" s="80"/>
      <c r="P60" s="80"/>
      <c r="Q60" s="72"/>
      <c r="R60" s="72"/>
      <c r="S60" s="118"/>
      <c r="T60" s="72">
        <v>90</v>
      </c>
      <c r="U60" s="72"/>
      <c r="V60" s="118"/>
      <c r="W60" s="72">
        <v>88</v>
      </c>
      <c r="X60" s="72"/>
      <c r="Y60" s="120"/>
      <c r="Z60" s="72">
        <v>80</v>
      </c>
      <c r="AA60" s="72"/>
      <c r="AB60" s="118"/>
      <c r="AC60" s="72"/>
      <c r="AD60" s="72"/>
      <c r="AE60" s="118"/>
      <c r="AF60" s="72"/>
      <c r="AG60" s="72"/>
      <c r="AH60" s="118"/>
      <c r="AI60" s="72"/>
      <c r="AJ60" s="72"/>
      <c r="AK60" s="118"/>
      <c r="AL60" s="72"/>
      <c r="AM60" s="72"/>
      <c r="AN60" s="118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</row>
    <row r="61" spans="1:55" ht="13.9" customHeight="1" x14ac:dyDescent="0.35">
      <c r="A61" s="137"/>
      <c r="B61" s="128"/>
      <c r="C61" s="80"/>
      <c r="D61" s="80"/>
      <c r="E61" s="80"/>
      <c r="F61" s="80"/>
      <c r="G61" s="133"/>
      <c r="H61" s="80"/>
      <c r="I61" s="80"/>
      <c r="J61" s="133"/>
      <c r="K61" s="80"/>
      <c r="L61" s="80"/>
      <c r="M61" s="80"/>
      <c r="N61" s="80"/>
      <c r="O61" s="80"/>
      <c r="P61" s="80"/>
      <c r="Q61" s="72"/>
      <c r="R61" s="72"/>
      <c r="S61" s="118"/>
      <c r="T61" s="72"/>
      <c r="U61" s="72"/>
      <c r="V61" s="118"/>
      <c r="W61" s="72"/>
      <c r="X61" s="72"/>
      <c r="Y61" s="120"/>
      <c r="Z61" s="72"/>
      <c r="AA61" s="72"/>
      <c r="AB61" s="118"/>
      <c r="AC61" s="72"/>
      <c r="AD61" s="72"/>
      <c r="AE61" s="118"/>
      <c r="AF61" s="72"/>
      <c r="AG61" s="72"/>
      <c r="AH61" s="118"/>
      <c r="AI61" s="72"/>
      <c r="AJ61" s="72"/>
      <c r="AK61" s="118"/>
      <c r="AL61" s="72"/>
      <c r="AM61" s="72"/>
      <c r="AN61" s="118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</row>
    <row r="62" spans="1:55" ht="13.9" customHeight="1" x14ac:dyDescent="0.35">
      <c r="A62" s="137"/>
      <c r="B62" s="128"/>
      <c r="C62" s="80"/>
      <c r="D62" s="80"/>
      <c r="E62" s="80"/>
      <c r="F62" s="80"/>
      <c r="G62" s="133"/>
      <c r="H62" s="80"/>
      <c r="I62" s="80"/>
      <c r="J62" s="133"/>
      <c r="K62" s="80"/>
      <c r="L62" s="80"/>
      <c r="M62" s="80"/>
      <c r="N62" s="80"/>
      <c r="O62" s="80"/>
      <c r="P62" s="80"/>
      <c r="Q62" s="72"/>
      <c r="R62" s="72"/>
      <c r="S62" s="118"/>
      <c r="T62" s="72"/>
      <c r="U62" s="72"/>
      <c r="V62" s="118"/>
      <c r="W62" s="72"/>
      <c r="X62" s="72"/>
      <c r="Y62" s="120"/>
      <c r="Z62" s="72"/>
      <c r="AA62" s="72"/>
      <c r="AB62" s="118"/>
      <c r="AC62" s="72"/>
      <c r="AD62" s="72"/>
      <c r="AE62" s="118"/>
      <c r="AF62" s="72"/>
      <c r="AG62" s="72"/>
      <c r="AH62" s="118"/>
      <c r="AI62" s="72"/>
      <c r="AJ62" s="72"/>
      <c r="AK62" s="118"/>
      <c r="AL62" s="72"/>
      <c r="AM62" s="72"/>
      <c r="AN62" s="118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</row>
    <row r="63" spans="1:55" ht="13.9" customHeight="1" x14ac:dyDescent="0.35">
      <c r="A63" s="137"/>
      <c r="B63" s="129"/>
      <c r="C63" s="80"/>
      <c r="D63" s="80"/>
      <c r="E63" s="80"/>
      <c r="F63" s="80"/>
      <c r="G63" s="131"/>
      <c r="H63" s="80"/>
      <c r="I63" s="80"/>
      <c r="J63" s="131"/>
      <c r="K63" s="80"/>
      <c r="L63" s="80"/>
      <c r="M63" s="80"/>
      <c r="N63" s="80"/>
      <c r="O63" s="80"/>
      <c r="P63" s="80"/>
      <c r="Q63" s="73"/>
      <c r="R63" s="73"/>
      <c r="S63" s="125"/>
      <c r="T63" s="72"/>
      <c r="U63" s="72"/>
      <c r="V63" s="125"/>
      <c r="W63" s="72"/>
      <c r="X63" s="72"/>
      <c r="Y63" s="120"/>
      <c r="Z63" s="72"/>
      <c r="AA63" s="72"/>
      <c r="AB63" s="125"/>
      <c r="AC63" s="72"/>
      <c r="AD63" s="72"/>
      <c r="AE63" s="125"/>
      <c r="AF63" s="72"/>
      <c r="AG63" s="72"/>
      <c r="AH63" s="125"/>
      <c r="AI63" s="72"/>
      <c r="AJ63" s="72"/>
      <c r="AK63" s="125"/>
      <c r="AL63" s="72"/>
      <c r="AM63" s="72"/>
      <c r="AN63" s="125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</row>
    <row r="64" spans="1:55" ht="13.9" customHeight="1" x14ac:dyDescent="0.35">
      <c r="A64" s="137"/>
      <c r="B64" s="127"/>
      <c r="C64" s="80"/>
      <c r="D64" s="80"/>
      <c r="E64" s="80"/>
      <c r="F64" s="80"/>
      <c r="G64" s="130"/>
      <c r="H64" s="80"/>
      <c r="I64" s="80"/>
      <c r="J64" s="130"/>
      <c r="K64" s="80"/>
      <c r="L64" s="80"/>
      <c r="M64" s="80"/>
      <c r="N64" s="80"/>
      <c r="O64" s="80"/>
      <c r="P64" s="80"/>
      <c r="Q64" s="102"/>
      <c r="R64" s="72"/>
      <c r="S64" s="122"/>
      <c r="T64" s="72"/>
      <c r="U64" s="72"/>
      <c r="V64" s="122"/>
      <c r="W64" s="72"/>
      <c r="X64" s="72"/>
      <c r="Y64" s="120"/>
      <c r="Z64" s="72"/>
      <c r="AA64" s="72"/>
      <c r="AB64" s="122"/>
      <c r="AC64" s="72"/>
      <c r="AD64" s="72"/>
      <c r="AE64" s="122"/>
      <c r="AF64" s="72"/>
      <c r="AG64" s="72"/>
      <c r="AH64" s="122"/>
      <c r="AI64" s="72"/>
      <c r="AJ64" s="72"/>
      <c r="AK64" s="122"/>
      <c r="AL64" s="72"/>
      <c r="AM64" s="72"/>
      <c r="AN64" s="122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</row>
    <row r="65" spans="1:55" ht="13.9" customHeight="1" x14ac:dyDescent="0.35">
      <c r="A65" s="137"/>
      <c r="B65" s="129"/>
      <c r="C65" s="80"/>
      <c r="D65" s="80"/>
      <c r="E65" s="80"/>
      <c r="F65" s="80"/>
      <c r="G65" s="131"/>
      <c r="H65" s="80"/>
      <c r="I65" s="80"/>
      <c r="J65" s="131"/>
      <c r="K65" s="80"/>
      <c r="L65" s="80"/>
      <c r="M65" s="80"/>
      <c r="N65" s="80"/>
      <c r="O65" s="80"/>
      <c r="P65" s="80"/>
      <c r="Q65" s="102"/>
      <c r="R65" s="72"/>
      <c r="S65" s="125"/>
      <c r="T65" s="72"/>
      <c r="U65" s="72"/>
      <c r="V65" s="125"/>
      <c r="W65" s="72"/>
      <c r="X65" s="72"/>
      <c r="Y65" s="120"/>
      <c r="Z65" s="72"/>
      <c r="AA65" s="72"/>
      <c r="AB65" s="125"/>
      <c r="AC65" s="72"/>
      <c r="AD65" s="72"/>
      <c r="AE65" s="125"/>
      <c r="AF65" s="72"/>
      <c r="AG65" s="72"/>
      <c r="AH65" s="125"/>
      <c r="AI65" s="72"/>
      <c r="AJ65" s="72"/>
      <c r="AK65" s="125"/>
      <c r="AL65" s="72"/>
      <c r="AM65" s="72"/>
      <c r="AN65" s="125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</row>
    <row r="66" spans="1:55" x14ac:dyDescent="0.35">
      <c r="A66" s="137"/>
      <c r="B66" s="127"/>
      <c r="C66" s="80"/>
      <c r="D66" s="80"/>
      <c r="E66" s="72"/>
      <c r="F66" s="72"/>
      <c r="G66" s="122"/>
      <c r="H66" s="72"/>
      <c r="I66" s="72"/>
      <c r="J66" s="122"/>
      <c r="K66" s="72"/>
      <c r="L66" s="72"/>
      <c r="M66" s="72"/>
      <c r="N66" s="72"/>
      <c r="O66" s="72"/>
      <c r="P66" s="72"/>
      <c r="Q66" s="72"/>
      <c r="R66" s="72"/>
      <c r="S66" s="122"/>
      <c r="T66" s="72"/>
      <c r="U66" s="72"/>
      <c r="V66" s="122"/>
      <c r="W66" s="72"/>
      <c r="X66" s="72"/>
      <c r="Y66" s="118"/>
      <c r="Z66" s="72"/>
      <c r="AA66" s="72"/>
      <c r="AB66" s="122"/>
      <c r="AC66" s="72"/>
      <c r="AD66" s="72"/>
      <c r="AE66" s="122"/>
      <c r="AF66" s="72"/>
      <c r="AG66" s="72"/>
      <c r="AH66" s="122"/>
      <c r="AI66" s="72"/>
      <c r="AJ66" s="72"/>
      <c r="AK66" s="122"/>
      <c r="AL66" s="72"/>
      <c r="AM66" s="72"/>
      <c r="AN66" s="122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</row>
    <row r="67" spans="1:55" x14ac:dyDescent="0.35">
      <c r="A67" s="137"/>
      <c r="B67" s="128"/>
      <c r="C67" s="80"/>
      <c r="D67" s="80"/>
      <c r="E67" s="80"/>
      <c r="F67" s="80"/>
      <c r="G67" s="118"/>
      <c r="H67" s="80"/>
      <c r="I67" s="80"/>
      <c r="J67" s="118"/>
      <c r="K67" s="72"/>
      <c r="L67" s="72"/>
      <c r="M67" s="72"/>
      <c r="N67" s="72"/>
      <c r="O67" s="72"/>
      <c r="P67" s="72"/>
      <c r="Q67" s="72"/>
      <c r="R67" s="72"/>
      <c r="S67" s="118"/>
      <c r="T67" s="72"/>
      <c r="U67" s="72"/>
      <c r="V67" s="118"/>
      <c r="W67" s="72"/>
      <c r="X67" s="72"/>
      <c r="Y67" s="118"/>
      <c r="Z67" s="72"/>
      <c r="AA67" s="72"/>
      <c r="AB67" s="118"/>
      <c r="AC67" s="72"/>
      <c r="AD67" s="72"/>
      <c r="AE67" s="118"/>
      <c r="AF67" s="72"/>
      <c r="AG67" s="72"/>
      <c r="AH67" s="118"/>
      <c r="AI67" s="72"/>
      <c r="AJ67" s="72"/>
      <c r="AK67" s="118"/>
      <c r="AL67" s="72"/>
      <c r="AM67" s="72"/>
      <c r="AN67" s="118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</row>
    <row r="68" spans="1:55" ht="13.9" customHeight="1" x14ac:dyDescent="0.35">
      <c r="A68" s="138"/>
      <c r="B68" s="129"/>
      <c r="C68" s="80"/>
      <c r="D68" s="80"/>
      <c r="E68" s="80"/>
      <c r="F68" s="80"/>
      <c r="G68" s="125"/>
      <c r="H68" s="80"/>
      <c r="I68" s="80"/>
      <c r="J68" s="125"/>
      <c r="K68" s="72"/>
      <c r="L68" s="72"/>
      <c r="M68" s="72"/>
      <c r="N68" s="72"/>
      <c r="O68" s="72"/>
      <c r="P68" s="72"/>
      <c r="Q68" s="72"/>
      <c r="R68" s="72"/>
      <c r="S68" s="125"/>
      <c r="T68" s="72"/>
      <c r="U68" s="72"/>
      <c r="V68" s="125"/>
      <c r="W68" s="72"/>
      <c r="X68" s="72"/>
      <c r="Y68" s="125"/>
      <c r="Z68" s="72"/>
      <c r="AA68" s="72"/>
      <c r="AB68" s="125"/>
      <c r="AC68" s="72"/>
      <c r="AD68" s="72"/>
      <c r="AE68" s="125"/>
      <c r="AF68" s="73"/>
      <c r="AG68" s="73"/>
      <c r="AH68" s="125"/>
      <c r="AI68" s="73"/>
      <c r="AJ68" s="73"/>
      <c r="AK68" s="125"/>
      <c r="AL68" s="73"/>
      <c r="AM68" s="73"/>
      <c r="AN68" s="125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</row>
    <row r="69" spans="1:55" x14ac:dyDescent="0.35">
      <c r="A69" s="119" t="s">
        <v>388</v>
      </c>
      <c r="B69" s="126"/>
      <c r="C69" s="80"/>
      <c r="D69" s="72"/>
      <c r="E69" s="72"/>
      <c r="F69" s="72"/>
      <c r="G69" s="122"/>
      <c r="H69" s="72"/>
      <c r="I69" s="72"/>
      <c r="J69" s="122"/>
      <c r="K69" s="72"/>
      <c r="L69" s="72"/>
      <c r="M69" s="72"/>
      <c r="N69" s="72"/>
      <c r="O69" s="72"/>
      <c r="P69" s="72"/>
      <c r="Q69" s="72"/>
      <c r="R69" s="72"/>
      <c r="S69" s="122"/>
      <c r="T69" s="72"/>
      <c r="U69" s="72"/>
      <c r="V69" s="122"/>
      <c r="W69" s="72"/>
      <c r="X69" s="72"/>
      <c r="Y69" s="122"/>
      <c r="Z69" s="72"/>
      <c r="AA69" s="72"/>
      <c r="AB69" s="122"/>
      <c r="AC69" s="72"/>
      <c r="AD69" s="72"/>
      <c r="AE69" s="122"/>
      <c r="AF69" s="72"/>
      <c r="AG69" s="72"/>
      <c r="AH69" s="122"/>
      <c r="AI69" s="72"/>
      <c r="AJ69" s="72"/>
      <c r="AK69" s="122"/>
      <c r="AL69" s="72"/>
      <c r="AM69" s="72"/>
      <c r="AN69" s="122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</row>
    <row r="70" spans="1:55" x14ac:dyDescent="0.35">
      <c r="A70" s="119"/>
      <c r="B70" s="126"/>
      <c r="C70" s="80" t="s">
        <v>571</v>
      </c>
      <c r="D70" s="72"/>
      <c r="E70" s="72"/>
      <c r="F70" s="72"/>
      <c r="G70" s="118"/>
      <c r="H70" s="72"/>
      <c r="I70" s="72"/>
      <c r="J70" s="118"/>
      <c r="K70" s="72"/>
      <c r="L70" s="72"/>
      <c r="M70" s="72"/>
      <c r="N70" s="72" t="s">
        <v>626</v>
      </c>
      <c r="O70" s="72"/>
      <c r="P70" s="72"/>
      <c r="Q70" s="72"/>
      <c r="R70" s="72"/>
      <c r="S70" s="118"/>
      <c r="T70" s="72"/>
      <c r="U70" s="72"/>
      <c r="V70" s="118"/>
      <c r="W70" s="72"/>
      <c r="X70" s="72"/>
      <c r="Y70" s="118"/>
      <c r="Z70" s="72"/>
      <c r="AA70" s="72"/>
      <c r="AB70" s="118"/>
      <c r="AC70" s="72"/>
      <c r="AD70" s="72"/>
      <c r="AE70" s="118"/>
      <c r="AF70" s="72"/>
      <c r="AG70" s="72"/>
      <c r="AH70" s="118"/>
      <c r="AI70" s="72"/>
      <c r="AJ70" s="72"/>
      <c r="AK70" s="118"/>
      <c r="AL70" s="72"/>
      <c r="AM70" s="72"/>
      <c r="AN70" s="118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</row>
    <row r="71" spans="1:55" x14ac:dyDescent="0.35">
      <c r="A71" s="119"/>
      <c r="B71" s="126"/>
      <c r="C71" s="80" t="s">
        <v>572</v>
      </c>
      <c r="D71" s="72"/>
      <c r="E71" s="72"/>
      <c r="F71" s="72"/>
      <c r="G71" s="122"/>
      <c r="H71" s="93"/>
      <c r="I71" s="72"/>
      <c r="J71" s="122"/>
      <c r="K71" s="72"/>
      <c r="L71" s="72"/>
      <c r="M71" s="72"/>
      <c r="N71" s="72"/>
      <c r="O71" s="72"/>
      <c r="P71" s="72"/>
      <c r="Q71" s="72"/>
      <c r="R71" s="72"/>
      <c r="S71" s="122"/>
      <c r="T71" s="72"/>
      <c r="U71" s="72"/>
      <c r="V71" s="122"/>
      <c r="W71" s="72"/>
      <c r="X71" s="72"/>
      <c r="Y71" s="122"/>
      <c r="Z71" s="72"/>
      <c r="AA71" s="72"/>
      <c r="AB71" s="122"/>
      <c r="AC71" s="72"/>
      <c r="AD71" s="72"/>
      <c r="AE71" s="122"/>
      <c r="AF71" s="72"/>
      <c r="AG71" s="72"/>
      <c r="AH71" s="122"/>
      <c r="AI71" s="72"/>
      <c r="AJ71" s="72"/>
      <c r="AK71" s="122"/>
      <c r="AL71" s="72"/>
      <c r="AM71" s="72"/>
      <c r="AN71" s="122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</row>
    <row r="72" spans="1:55" x14ac:dyDescent="0.35">
      <c r="A72" s="119"/>
      <c r="B72" s="126"/>
      <c r="C72" s="80" t="s">
        <v>574</v>
      </c>
      <c r="D72" s="72"/>
      <c r="E72" s="72"/>
      <c r="F72" s="72"/>
      <c r="G72" s="118"/>
      <c r="H72" s="72"/>
      <c r="I72" s="72"/>
      <c r="J72" s="118"/>
      <c r="K72" s="72"/>
      <c r="L72" s="72"/>
      <c r="M72" s="72"/>
      <c r="N72" s="72"/>
      <c r="O72" s="72"/>
      <c r="P72" s="72"/>
      <c r="Q72" s="72"/>
      <c r="R72" s="72"/>
      <c r="S72" s="118"/>
      <c r="T72" s="72"/>
      <c r="U72" s="72"/>
      <c r="V72" s="118"/>
      <c r="W72" s="72"/>
      <c r="X72" s="72"/>
      <c r="Y72" s="118"/>
      <c r="Z72" s="72"/>
      <c r="AA72" s="72"/>
      <c r="AB72" s="118"/>
      <c r="AC72" s="72"/>
      <c r="AD72" s="72"/>
      <c r="AE72" s="118"/>
      <c r="AF72" s="72"/>
      <c r="AG72" s="72"/>
      <c r="AH72" s="118"/>
      <c r="AI72" s="72"/>
      <c r="AJ72" s="72"/>
      <c r="AK72" s="118"/>
      <c r="AL72" s="72"/>
      <c r="AM72" s="72"/>
      <c r="AN72" s="118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</row>
    <row r="73" spans="1:55" x14ac:dyDescent="0.35">
      <c r="A73" s="119"/>
      <c r="B73" s="126"/>
      <c r="C73" s="80" t="s">
        <v>586</v>
      </c>
      <c r="D73" s="72"/>
      <c r="E73" s="72"/>
      <c r="F73" s="72"/>
      <c r="G73" s="118"/>
      <c r="H73" s="72"/>
      <c r="I73" s="72"/>
      <c r="J73" s="118"/>
      <c r="K73" s="72"/>
      <c r="L73" s="72"/>
      <c r="M73" s="72"/>
      <c r="N73" s="72"/>
      <c r="O73" s="72"/>
      <c r="P73" s="72"/>
      <c r="Q73" s="72"/>
      <c r="R73" s="72"/>
      <c r="S73" s="118"/>
      <c r="T73" s="72"/>
      <c r="U73" s="72"/>
      <c r="V73" s="118"/>
      <c r="W73" s="72"/>
      <c r="X73" s="72"/>
      <c r="Y73" s="118"/>
      <c r="Z73" s="72"/>
      <c r="AA73" s="72"/>
      <c r="AB73" s="118"/>
      <c r="AC73" s="72"/>
      <c r="AD73" s="72"/>
      <c r="AE73" s="118"/>
      <c r="AF73" s="72"/>
      <c r="AG73" s="72"/>
      <c r="AH73" s="118"/>
      <c r="AI73" s="72"/>
      <c r="AJ73" s="72"/>
      <c r="AK73" s="118"/>
      <c r="AL73" s="72"/>
      <c r="AM73" s="72"/>
      <c r="AN73" s="118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</row>
    <row r="74" spans="1:55" x14ac:dyDescent="0.35">
      <c r="A74" s="119"/>
      <c r="B74" s="126"/>
      <c r="C74" s="80" t="s">
        <v>600</v>
      </c>
      <c r="D74" s="72"/>
      <c r="E74" s="72"/>
      <c r="F74" s="72"/>
      <c r="G74" s="118"/>
      <c r="H74" s="72"/>
      <c r="I74" s="72"/>
      <c r="J74" s="118"/>
      <c r="K74" s="72"/>
      <c r="L74" s="72"/>
      <c r="M74" s="72"/>
      <c r="N74" s="72" t="s">
        <v>724</v>
      </c>
      <c r="O74" s="72"/>
      <c r="P74" s="72"/>
      <c r="Q74" s="72" t="s">
        <v>727</v>
      </c>
      <c r="R74" s="72"/>
      <c r="S74" s="118"/>
      <c r="T74" s="72"/>
      <c r="U74" s="72"/>
      <c r="V74" s="118"/>
      <c r="W74" s="72"/>
      <c r="X74" s="72"/>
      <c r="Y74" s="118"/>
      <c r="Z74" s="72"/>
      <c r="AA74" s="72"/>
      <c r="AB74" s="118"/>
      <c r="AC74" s="72"/>
      <c r="AD74" s="72"/>
      <c r="AE74" s="118"/>
      <c r="AF74" s="72"/>
      <c r="AG74" s="72"/>
      <c r="AH74" s="118"/>
      <c r="AI74" s="72"/>
      <c r="AJ74" s="72"/>
      <c r="AK74" s="118"/>
      <c r="AL74" s="72"/>
      <c r="AM74" s="72"/>
      <c r="AN74" s="118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</row>
    <row r="75" spans="1:55" x14ac:dyDescent="0.35">
      <c r="A75" s="119"/>
      <c r="B75" s="126"/>
      <c r="C75" s="80" t="s">
        <v>616</v>
      </c>
      <c r="D75" s="72"/>
      <c r="E75" s="72"/>
      <c r="F75" s="72"/>
      <c r="G75" s="118"/>
      <c r="H75" s="72"/>
      <c r="I75" s="72"/>
      <c r="J75" s="118"/>
      <c r="K75" s="72"/>
      <c r="L75" s="72"/>
      <c r="M75" s="72"/>
      <c r="N75" s="72" t="s">
        <v>626</v>
      </c>
      <c r="O75" s="72"/>
      <c r="P75" s="72"/>
      <c r="Q75" s="102"/>
      <c r="R75" s="72"/>
      <c r="S75" s="118"/>
      <c r="T75" s="72"/>
      <c r="U75" s="72"/>
      <c r="V75" s="118"/>
      <c r="W75" s="72"/>
      <c r="X75" s="72"/>
      <c r="Y75" s="118"/>
      <c r="Z75" s="72"/>
      <c r="AA75" s="72"/>
      <c r="AB75" s="118"/>
      <c r="AC75" s="72"/>
      <c r="AD75" s="72"/>
      <c r="AE75" s="118"/>
      <c r="AF75" s="72"/>
      <c r="AG75" s="72"/>
      <c r="AH75" s="118"/>
      <c r="AI75" s="72"/>
      <c r="AJ75" s="72"/>
      <c r="AK75" s="118"/>
      <c r="AL75" s="72"/>
      <c r="AM75" s="72"/>
      <c r="AN75" s="118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</row>
    <row r="76" spans="1:55" x14ac:dyDescent="0.35">
      <c r="A76" s="119"/>
      <c r="B76" s="126"/>
      <c r="C76" s="80" t="s">
        <v>618</v>
      </c>
      <c r="D76" s="72"/>
      <c r="E76" s="72"/>
      <c r="F76" s="72"/>
      <c r="G76" s="118"/>
      <c r="H76" s="72"/>
      <c r="I76" s="72"/>
      <c r="J76" s="118"/>
      <c r="K76" s="72"/>
      <c r="L76" s="72"/>
      <c r="M76" s="72"/>
      <c r="N76" s="72"/>
      <c r="O76" s="72"/>
      <c r="P76" s="72"/>
      <c r="Q76" s="72" t="s">
        <v>669</v>
      </c>
      <c r="R76" s="72"/>
      <c r="S76" s="118"/>
      <c r="T76" s="72"/>
      <c r="U76" s="72"/>
      <c r="V76" s="118"/>
      <c r="W76" s="72"/>
      <c r="X76" s="72"/>
      <c r="Y76" s="118"/>
      <c r="Z76" s="72"/>
      <c r="AA76" s="72"/>
      <c r="AB76" s="118"/>
      <c r="AC76" s="72"/>
      <c r="AD76" s="107"/>
      <c r="AE76" s="118"/>
      <c r="AF76" s="72"/>
      <c r="AG76" s="72"/>
      <c r="AH76" s="118"/>
      <c r="AI76" s="72"/>
      <c r="AJ76" s="72"/>
      <c r="AK76" s="118"/>
      <c r="AL76" s="72"/>
      <c r="AM76" s="72"/>
      <c r="AN76" s="118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</row>
    <row r="77" spans="1:55" x14ac:dyDescent="0.35">
      <c r="A77" s="119"/>
      <c r="B77" s="126"/>
      <c r="C77" s="80" t="s">
        <v>625</v>
      </c>
      <c r="D77" s="72"/>
      <c r="E77" s="72" t="s">
        <v>669</v>
      </c>
      <c r="F77" s="72"/>
      <c r="G77" s="125"/>
      <c r="H77" s="72" t="s">
        <v>669</v>
      </c>
      <c r="I77" s="72"/>
      <c r="J77" s="125"/>
      <c r="K77" s="72" t="s">
        <v>669</v>
      </c>
      <c r="L77" s="72"/>
      <c r="M77" s="72"/>
      <c r="N77" s="72" t="s">
        <v>626</v>
      </c>
      <c r="O77" s="72"/>
      <c r="P77" s="72"/>
      <c r="Q77" s="72" t="s">
        <v>626</v>
      </c>
      <c r="R77" s="72"/>
      <c r="S77" s="125"/>
      <c r="T77" s="73"/>
      <c r="U77" s="73"/>
      <c r="V77" s="125"/>
      <c r="W77" s="73"/>
      <c r="X77" s="72"/>
      <c r="Y77" s="125"/>
      <c r="Z77" s="73"/>
      <c r="AA77" s="72"/>
      <c r="AB77" s="125"/>
      <c r="AC77" s="72"/>
      <c r="AD77" s="72"/>
      <c r="AE77" s="125"/>
      <c r="AF77" s="72"/>
      <c r="AG77" s="72"/>
      <c r="AH77" s="125"/>
      <c r="AI77" s="72"/>
      <c r="AJ77" s="72"/>
      <c r="AK77" s="125"/>
      <c r="AL77" s="72"/>
      <c r="AM77" s="72"/>
      <c r="AN77" s="125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</row>
    <row r="78" spans="1:55" x14ac:dyDescent="0.35">
      <c r="A78" s="119"/>
      <c r="B78" s="126"/>
      <c r="C78" s="80" t="s">
        <v>657</v>
      </c>
      <c r="D78" s="72"/>
      <c r="E78" s="72"/>
      <c r="F78" s="72"/>
      <c r="G78" s="122"/>
      <c r="H78" s="72"/>
      <c r="I78" s="72"/>
      <c r="J78" s="122"/>
      <c r="K78" s="72"/>
      <c r="L78" s="72"/>
      <c r="M78" s="72"/>
      <c r="N78" s="72"/>
      <c r="O78" s="72"/>
      <c r="P78" s="72"/>
      <c r="Q78" s="72"/>
      <c r="R78" s="72"/>
      <c r="S78" s="122"/>
      <c r="T78" s="72"/>
      <c r="U78" s="72"/>
      <c r="V78" s="122"/>
      <c r="W78" s="72"/>
      <c r="X78" s="72"/>
      <c r="Y78" s="122"/>
      <c r="Z78" s="72"/>
      <c r="AA78" s="72"/>
      <c r="AB78" s="122"/>
      <c r="AC78" s="73"/>
      <c r="AD78" s="73"/>
      <c r="AE78" s="123"/>
      <c r="AF78" s="72"/>
      <c r="AG78" s="72"/>
      <c r="AH78" s="122"/>
      <c r="AI78" s="72"/>
      <c r="AJ78" s="72"/>
      <c r="AK78" s="122"/>
      <c r="AL78" s="72"/>
      <c r="AM78" s="72"/>
      <c r="AN78" s="122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</row>
    <row r="79" spans="1:55" x14ac:dyDescent="0.35">
      <c r="A79" s="119"/>
      <c r="B79" s="126"/>
      <c r="C79" s="80" t="s">
        <v>715</v>
      </c>
      <c r="D79" s="72"/>
      <c r="E79" s="72" t="s">
        <v>716</v>
      </c>
      <c r="F79" s="72"/>
      <c r="G79" s="118"/>
      <c r="H79" s="72"/>
      <c r="I79" s="72"/>
      <c r="J79" s="118"/>
      <c r="K79" s="72" t="s">
        <v>721</v>
      </c>
      <c r="L79" s="72"/>
      <c r="M79" s="72"/>
      <c r="N79" s="72" t="s">
        <v>723</v>
      </c>
      <c r="O79" s="72"/>
      <c r="P79" s="72"/>
      <c r="Q79" s="72"/>
      <c r="R79" s="72"/>
      <c r="S79" s="118"/>
      <c r="T79" s="72"/>
      <c r="U79" s="72"/>
      <c r="V79" s="118"/>
      <c r="W79" s="72"/>
      <c r="X79" s="72"/>
      <c r="Y79" s="118"/>
      <c r="Z79" s="72"/>
      <c r="AA79" s="72"/>
      <c r="AB79" s="118"/>
      <c r="AC79" s="72"/>
      <c r="AD79" s="73"/>
      <c r="AE79" s="121"/>
      <c r="AF79" s="72"/>
      <c r="AG79" s="72"/>
      <c r="AH79" s="118"/>
      <c r="AI79" s="72"/>
      <c r="AJ79" s="72"/>
      <c r="AK79" s="118"/>
      <c r="AL79" s="72"/>
      <c r="AM79" s="72"/>
      <c r="AN79" s="118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</row>
    <row r="80" spans="1:55" x14ac:dyDescent="0.35">
      <c r="A80" s="119"/>
      <c r="B80" s="126"/>
      <c r="C80" s="80" t="s">
        <v>725</v>
      </c>
      <c r="D80" s="72"/>
      <c r="E80" s="72"/>
      <c r="F80" s="72"/>
      <c r="G80" s="118"/>
      <c r="H80" s="72"/>
      <c r="I80" s="72"/>
      <c r="J80" s="118"/>
      <c r="K80" s="72"/>
      <c r="L80" s="72"/>
      <c r="M80" s="72"/>
      <c r="N80" s="72" t="s">
        <v>626</v>
      </c>
      <c r="O80" s="72"/>
      <c r="P80" s="72"/>
      <c r="Q80" s="72"/>
      <c r="R80" s="72"/>
      <c r="S80" s="118"/>
      <c r="T80" s="72"/>
      <c r="U80" s="72"/>
      <c r="V80" s="118"/>
      <c r="W80" s="72"/>
      <c r="X80" s="72"/>
      <c r="Y80" s="118"/>
      <c r="Z80" s="72"/>
      <c r="AA80" s="72"/>
      <c r="AB80" s="118"/>
      <c r="AC80" s="72"/>
      <c r="AD80" s="72"/>
      <c r="AE80" s="121"/>
      <c r="AF80" s="72"/>
      <c r="AG80" s="72"/>
      <c r="AH80" s="118"/>
      <c r="AI80" s="72"/>
      <c r="AJ80" s="72"/>
      <c r="AK80" s="118"/>
      <c r="AL80" s="72"/>
      <c r="AM80" s="72"/>
      <c r="AN80" s="118"/>
      <c r="AO80" s="70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70"/>
      <c r="BC80" s="70"/>
    </row>
    <row r="81" spans="1:55" x14ac:dyDescent="0.35">
      <c r="A81" s="119"/>
      <c r="B81" s="126"/>
      <c r="C81" s="80"/>
      <c r="D81" s="72"/>
      <c r="E81" s="72"/>
      <c r="F81" s="72"/>
      <c r="G81" s="118"/>
      <c r="H81" s="72"/>
      <c r="I81" s="72"/>
      <c r="J81" s="118"/>
      <c r="K81" s="72"/>
      <c r="L81" s="72"/>
      <c r="M81" s="72"/>
      <c r="N81" s="72"/>
      <c r="O81" s="72"/>
      <c r="P81" s="72"/>
      <c r="Q81" s="72"/>
      <c r="R81" s="72"/>
      <c r="S81" s="118"/>
      <c r="T81" s="72"/>
      <c r="U81" s="72"/>
      <c r="V81" s="118"/>
      <c r="W81" s="72"/>
      <c r="X81" s="72"/>
      <c r="Y81" s="118"/>
      <c r="Z81" s="72"/>
      <c r="AA81" s="72"/>
      <c r="AB81" s="118"/>
      <c r="AC81" s="72"/>
      <c r="AD81" s="72"/>
      <c r="AE81" s="121"/>
      <c r="AF81" s="72"/>
      <c r="AG81" s="72"/>
      <c r="AH81" s="118"/>
      <c r="AI81" s="72"/>
      <c r="AJ81" s="72"/>
      <c r="AK81" s="118"/>
      <c r="AL81" s="72"/>
      <c r="AM81" s="72"/>
      <c r="AN81" s="118"/>
      <c r="AO81" s="70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70"/>
      <c r="BC81" s="70"/>
    </row>
    <row r="82" spans="1:55" x14ac:dyDescent="0.35">
      <c r="A82" s="119"/>
      <c r="B82" s="126"/>
      <c r="C82" s="80"/>
      <c r="D82" s="72"/>
      <c r="E82" s="72"/>
      <c r="F82" s="72"/>
      <c r="G82" s="118"/>
      <c r="H82" s="72"/>
      <c r="I82" s="72"/>
      <c r="J82" s="118"/>
      <c r="K82" s="72"/>
      <c r="L82" s="72"/>
      <c r="M82" s="72"/>
      <c r="N82" s="72"/>
      <c r="O82" s="72"/>
      <c r="P82" s="72"/>
      <c r="Q82" s="72"/>
      <c r="R82" s="72"/>
      <c r="S82" s="118"/>
      <c r="T82" s="72"/>
      <c r="U82" s="72"/>
      <c r="V82" s="118"/>
      <c r="W82" s="72"/>
      <c r="X82" s="72"/>
      <c r="Y82" s="118"/>
      <c r="Z82" s="72"/>
      <c r="AA82" s="72"/>
      <c r="AB82" s="118"/>
      <c r="AC82" s="72"/>
      <c r="AD82" s="72"/>
      <c r="AE82" s="121"/>
      <c r="AF82" s="72"/>
      <c r="AG82" s="72"/>
      <c r="AH82" s="118"/>
      <c r="AI82" s="72"/>
      <c r="AJ82" s="72"/>
      <c r="AK82" s="118"/>
      <c r="AL82" s="72"/>
      <c r="AM82" s="72"/>
      <c r="AN82" s="118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</row>
    <row r="83" spans="1:55" x14ac:dyDescent="0.35">
      <c r="A83" s="119"/>
      <c r="B83" s="126"/>
      <c r="C83" s="80"/>
      <c r="D83" s="72"/>
      <c r="E83" s="72"/>
      <c r="F83" s="72"/>
      <c r="G83" s="118"/>
      <c r="H83" s="72"/>
      <c r="I83" s="72"/>
      <c r="J83" s="118"/>
      <c r="K83" s="72"/>
      <c r="L83" s="72"/>
      <c r="M83" s="72"/>
      <c r="N83" s="72"/>
      <c r="O83" s="72"/>
      <c r="P83" s="72"/>
      <c r="Q83" s="72"/>
      <c r="R83" s="72"/>
      <c r="S83" s="118"/>
      <c r="T83" s="72"/>
      <c r="U83" s="72"/>
      <c r="V83" s="118"/>
      <c r="W83" s="72"/>
      <c r="X83" s="72"/>
      <c r="Y83" s="118"/>
      <c r="Z83" s="72"/>
      <c r="AA83" s="72"/>
      <c r="AB83" s="118"/>
      <c r="AC83" s="72"/>
      <c r="AD83" s="72"/>
      <c r="AE83" s="121"/>
      <c r="AF83" s="72"/>
      <c r="AG83" s="72"/>
      <c r="AH83" s="118"/>
      <c r="AI83" s="72"/>
      <c r="AJ83" s="72"/>
      <c r="AK83" s="118"/>
      <c r="AL83" s="72"/>
      <c r="AM83" s="72"/>
      <c r="AN83" s="118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</row>
    <row r="84" spans="1:55" x14ac:dyDescent="0.35">
      <c r="A84" s="119"/>
      <c r="B84" s="126"/>
      <c r="C84" s="80"/>
      <c r="D84" s="72"/>
      <c r="E84" s="72"/>
      <c r="F84" s="72"/>
      <c r="G84" s="118"/>
      <c r="H84" s="72"/>
      <c r="I84" s="72"/>
      <c r="J84" s="118"/>
      <c r="K84" s="72"/>
      <c r="L84" s="72"/>
      <c r="M84" s="72"/>
      <c r="N84" s="72"/>
      <c r="O84" s="72"/>
      <c r="P84" s="72"/>
      <c r="Q84" s="72"/>
      <c r="R84" s="72"/>
      <c r="S84" s="118"/>
      <c r="T84" s="72"/>
      <c r="U84" s="72"/>
      <c r="V84" s="118"/>
      <c r="W84" s="72"/>
      <c r="X84" s="72"/>
      <c r="Y84" s="118"/>
      <c r="Z84" s="72"/>
      <c r="AA84" s="72"/>
      <c r="AB84" s="118"/>
      <c r="AC84" s="72"/>
      <c r="AD84" s="72"/>
      <c r="AE84" s="121"/>
      <c r="AF84" s="72"/>
      <c r="AG84" s="72"/>
      <c r="AH84" s="118"/>
      <c r="AI84" s="72"/>
      <c r="AJ84" s="72"/>
      <c r="AK84" s="118"/>
      <c r="AL84" s="72"/>
      <c r="AM84" s="72"/>
      <c r="AN84" s="118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</row>
    <row r="85" spans="1:55" x14ac:dyDescent="0.35">
      <c r="A85" s="119"/>
      <c r="B85" s="126"/>
      <c r="C85" s="80"/>
      <c r="D85" s="72"/>
      <c r="E85" s="72"/>
      <c r="F85" s="72"/>
      <c r="G85" s="118"/>
      <c r="H85" s="72"/>
      <c r="I85" s="72"/>
      <c r="J85" s="118"/>
      <c r="K85" s="72"/>
      <c r="L85" s="72"/>
      <c r="M85" s="72"/>
      <c r="N85" s="72"/>
      <c r="O85" s="72"/>
      <c r="P85" s="72"/>
      <c r="Q85" s="72"/>
      <c r="R85" s="72"/>
      <c r="S85" s="118"/>
      <c r="T85" s="72"/>
      <c r="U85" s="72"/>
      <c r="V85" s="118"/>
      <c r="W85" s="72"/>
      <c r="X85" s="72"/>
      <c r="Y85" s="118"/>
      <c r="Z85" s="72"/>
      <c r="AA85" s="72"/>
      <c r="AB85" s="118"/>
      <c r="AC85" s="72"/>
      <c r="AD85" s="72"/>
      <c r="AE85" s="121"/>
      <c r="AF85" s="72"/>
      <c r="AG85" s="72"/>
      <c r="AH85" s="118"/>
      <c r="AI85" s="72"/>
      <c r="AJ85" s="72"/>
      <c r="AK85" s="118"/>
      <c r="AL85" s="72"/>
      <c r="AM85" s="72"/>
      <c r="AN85" s="118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</row>
    <row r="86" spans="1:55" ht="17.25" thickBot="1" x14ac:dyDescent="0.4">
      <c r="A86" s="119"/>
      <c r="B86" s="124"/>
      <c r="C86" s="80"/>
      <c r="D86" s="72"/>
      <c r="E86" s="72"/>
      <c r="F86" s="72"/>
      <c r="G86" s="121"/>
      <c r="H86" s="72"/>
      <c r="I86" s="72"/>
      <c r="J86" s="121"/>
      <c r="K86" s="73"/>
      <c r="L86" s="73"/>
      <c r="M86" s="73"/>
      <c r="N86" s="73"/>
      <c r="O86" s="73"/>
      <c r="P86" s="73"/>
      <c r="Q86" s="72"/>
      <c r="R86" s="72"/>
      <c r="S86" s="121"/>
      <c r="T86" s="72"/>
      <c r="U86" s="72"/>
      <c r="V86" s="118"/>
      <c r="W86" s="72"/>
      <c r="X86" s="72"/>
      <c r="Y86" s="121"/>
      <c r="Z86" s="72"/>
      <c r="AA86" s="72"/>
      <c r="AB86" s="121"/>
      <c r="AC86" s="72"/>
      <c r="AD86" s="72"/>
      <c r="AE86" s="121"/>
      <c r="AF86" s="72"/>
      <c r="AG86" s="72"/>
      <c r="AH86" s="121"/>
      <c r="AI86" s="72"/>
      <c r="AJ86" s="72"/>
      <c r="AK86" s="121"/>
      <c r="AL86" s="72"/>
      <c r="AM86" s="72"/>
      <c r="AN86" s="118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</row>
    <row r="87" spans="1:55" ht="30" x14ac:dyDescent="0.35">
      <c r="A87" s="119"/>
      <c r="B87" s="124"/>
      <c r="C87" s="80"/>
      <c r="D87" s="72"/>
      <c r="E87" s="72"/>
      <c r="F87" s="72"/>
      <c r="G87" s="121"/>
      <c r="H87" s="72"/>
      <c r="I87" s="72"/>
      <c r="J87" s="121"/>
      <c r="K87" s="73"/>
      <c r="L87" s="73"/>
      <c r="M87" s="73"/>
      <c r="N87" s="73"/>
      <c r="O87" s="73"/>
      <c r="P87" s="73"/>
      <c r="Q87" s="72"/>
      <c r="R87" s="72"/>
      <c r="S87" s="121"/>
      <c r="T87" s="72"/>
      <c r="U87" s="72"/>
      <c r="V87" s="118"/>
      <c r="W87" s="72"/>
      <c r="X87" s="72"/>
      <c r="Y87" s="121"/>
      <c r="Z87" s="72"/>
      <c r="AA87" s="72"/>
      <c r="AB87" s="121"/>
      <c r="AC87" s="72"/>
      <c r="AD87" s="72"/>
      <c r="AE87" s="121"/>
      <c r="AF87" s="72"/>
      <c r="AG87" s="72"/>
      <c r="AH87" s="121"/>
      <c r="AI87" s="72"/>
      <c r="AJ87" s="72"/>
      <c r="AK87" s="121"/>
      <c r="AL87" s="72"/>
      <c r="AM87" s="72"/>
      <c r="AN87" s="118"/>
      <c r="AO87" s="70"/>
      <c r="AP87" s="94"/>
      <c r="AQ87" s="87" t="s">
        <v>4</v>
      </c>
      <c r="AR87" s="87" t="s">
        <v>5</v>
      </c>
      <c r="AS87" s="87" t="s">
        <v>6</v>
      </c>
      <c r="AT87" s="87" t="s">
        <v>7</v>
      </c>
      <c r="AU87" s="87" t="s">
        <v>8</v>
      </c>
      <c r="AV87" s="87" t="s">
        <v>9</v>
      </c>
      <c r="AW87" s="87" t="s">
        <v>10</v>
      </c>
      <c r="AX87" s="87" t="s">
        <v>11</v>
      </c>
      <c r="AY87" s="87" t="s">
        <v>12</v>
      </c>
      <c r="AZ87" s="87" t="s">
        <v>13</v>
      </c>
      <c r="BA87" s="88" t="s">
        <v>14</v>
      </c>
      <c r="BB87" s="70"/>
      <c r="BC87" s="70"/>
    </row>
    <row r="88" spans="1:55" x14ac:dyDescent="0.35">
      <c r="A88" s="119"/>
      <c r="B88" s="124"/>
      <c r="C88" s="80"/>
      <c r="D88" s="72"/>
      <c r="E88" s="72"/>
      <c r="F88" s="72"/>
      <c r="G88" s="121"/>
      <c r="H88" s="72"/>
      <c r="I88" s="72"/>
      <c r="J88" s="121"/>
      <c r="K88" s="73"/>
      <c r="L88" s="73"/>
      <c r="M88" s="73"/>
      <c r="N88" s="73"/>
      <c r="O88" s="73"/>
      <c r="P88" s="73"/>
      <c r="Q88" s="72"/>
      <c r="R88" s="72"/>
      <c r="S88" s="121"/>
      <c r="T88" s="72"/>
      <c r="U88" s="72"/>
      <c r="V88" s="118"/>
      <c r="W88" s="72"/>
      <c r="X88" s="72"/>
      <c r="Y88" s="121"/>
      <c r="Z88" s="72"/>
      <c r="AA88" s="72"/>
      <c r="AB88" s="121"/>
      <c r="AC88" s="72"/>
      <c r="AD88" s="72"/>
      <c r="AE88" s="121"/>
      <c r="AF88" s="72"/>
      <c r="AG88" s="72"/>
      <c r="AH88" s="121"/>
      <c r="AI88" s="72"/>
      <c r="AJ88" s="72"/>
      <c r="AK88" s="121"/>
      <c r="AL88" s="72"/>
      <c r="AM88" s="72"/>
      <c r="AN88" s="118"/>
      <c r="AO88" s="70"/>
      <c r="AP88" s="89" t="s">
        <v>350</v>
      </c>
      <c r="AQ88" s="70">
        <v>0</v>
      </c>
      <c r="AR88" s="70">
        <v>3</v>
      </c>
      <c r="AS88" s="70">
        <v>3</v>
      </c>
      <c r="AT88" s="70">
        <v>0</v>
      </c>
      <c r="AU88" s="70">
        <v>0.5</v>
      </c>
      <c r="AV88" s="70">
        <v>1.5</v>
      </c>
      <c r="AW88" s="70">
        <v>1.5</v>
      </c>
      <c r="AX88" s="70">
        <v>1</v>
      </c>
      <c r="AY88" s="70">
        <v>0</v>
      </c>
      <c r="AZ88" s="70">
        <v>0</v>
      </c>
      <c r="BA88" s="95">
        <v>1.5</v>
      </c>
      <c r="BB88" s="70"/>
      <c r="BC88" s="70"/>
    </row>
    <row r="89" spans="1:55" x14ac:dyDescent="0.35">
      <c r="A89" s="119"/>
      <c r="B89" s="120"/>
      <c r="C89" s="80"/>
      <c r="D89" s="72"/>
      <c r="E89" s="73"/>
      <c r="F89" s="72"/>
      <c r="G89" s="118"/>
      <c r="H89" s="73"/>
      <c r="I89" s="72"/>
      <c r="J89" s="118"/>
      <c r="K89" s="72"/>
      <c r="L89" s="72"/>
      <c r="M89" s="72"/>
      <c r="N89" s="72"/>
      <c r="O89" s="72"/>
      <c r="P89" s="72"/>
      <c r="Q89" s="110"/>
      <c r="R89" s="73"/>
      <c r="S89" s="118"/>
      <c r="T89" s="73"/>
      <c r="U89" s="73"/>
      <c r="V89" s="118"/>
      <c r="W89" s="72"/>
      <c r="X89" s="72"/>
      <c r="Y89" s="118"/>
      <c r="Z89" s="72"/>
      <c r="AA89" s="72"/>
      <c r="AB89" s="118"/>
      <c r="AC89" s="73"/>
      <c r="AD89" s="73"/>
      <c r="AE89" s="118"/>
      <c r="AF89" s="72"/>
      <c r="AG89" s="73"/>
      <c r="AH89" s="118"/>
      <c r="AI89" s="73"/>
      <c r="AJ89" s="73"/>
      <c r="AK89" s="118"/>
      <c r="AL89" s="72"/>
      <c r="AM89" s="72"/>
      <c r="AN89" s="118"/>
      <c r="AO89" s="70"/>
      <c r="AP89" s="89" t="s">
        <v>333</v>
      </c>
      <c r="AQ89" s="70">
        <v>0.6</v>
      </c>
      <c r="AR89" s="70">
        <v>2</v>
      </c>
      <c r="AS89" s="70">
        <v>2</v>
      </c>
      <c r="AT89" s="70">
        <v>0.6</v>
      </c>
      <c r="AU89" s="70">
        <v>0.6</v>
      </c>
      <c r="AV89" s="70">
        <v>1.3</v>
      </c>
      <c r="AW89" s="70">
        <v>0.9</v>
      </c>
      <c r="AX89" s="70">
        <v>0.7</v>
      </c>
      <c r="AY89" s="70">
        <v>1.7</v>
      </c>
      <c r="AZ89" s="70">
        <v>0.4</v>
      </c>
      <c r="BA89" s="95">
        <v>1.3</v>
      </c>
      <c r="BB89" s="70"/>
      <c r="BC89" s="70"/>
    </row>
    <row r="90" spans="1:55" x14ac:dyDescent="0.35">
      <c r="A90" s="119"/>
      <c r="B90" s="120"/>
      <c r="C90" s="80"/>
      <c r="D90" s="72"/>
      <c r="E90" s="72"/>
      <c r="F90" s="72"/>
      <c r="G90" s="118"/>
      <c r="H90" s="73"/>
      <c r="I90" s="72"/>
      <c r="J90" s="118"/>
      <c r="K90" s="72"/>
      <c r="L90" s="72"/>
      <c r="M90" s="72"/>
      <c r="N90" s="72"/>
      <c r="O90" s="72"/>
      <c r="P90" s="72"/>
      <c r="Q90" s="72"/>
      <c r="R90" s="72"/>
      <c r="S90" s="118"/>
      <c r="T90" s="72"/>
      <c r="U90" s="72"/>
      <c r="V90" s="118"/>
      <c r="W90" s="72"/>
      <c r="X90" s="72"/>
      <c r="Y90" s="118"/>
      <c r="Z90" s="72"/>
      <c r="AA90" s="72"/>
      <c r="AB90" s="118"/>
      <c r="AC90" s="72"/>
      <c r="AD90" s="72"/>
      <c r="AE90" s="118"/>
      <c r="AF90" s="72"/>
      <c r="AG90" s="72"/>
      <c r="AH90" s="118"/>
      <c r="AI90" s="72"/>
      <c r="AJ90" s="72"/>
      <c r="AK90" s="118"/>
      <c r="AL90" s="72"/>
      <c r="AM90" s="72"/>
      <c r="AN90" s="118"/>
      <c r="AO90" s="70"/>
      <c r="AP90" s="89" t="s">
        <v>355</v>
      </c>
      <c r="AQ90" s="70">
        <v>0</v>
      </c>
      <c r="AR90" s="70">
        <v>0.8</v>
      </c>
      <c r="AS90" s="70">
        <v>2.5</v>
      </c>
      <c r="AT90" s="70">
        <v>0.4</v>
      </c>
      <c r="AU90" s="70">
        <v>0.4</v>
      </c>
      <c r="AV90" s="70">
        <v>1.3</v>
      </c>
      <c r="AW90" s="70">
        <v>1</v>
      </c>
      <c r="AX90" s="70">
        <v>1.1000000000000001</v>
      </c>
      <c r="AY90" s="70">
        <v>0.4</v>
      </c>
      <c r="AZ90" s="70">
        <v>0</v>
      </c>
      <c r="BA90" s="95">
        <v>0.4</v>
      </c>
      <c r="BB90" s="70"/>
      <c r="BC90" s="70"/>
    </row>
    <row r="91" spans="1:55" x14ac:dyDescent="0.35">
      <c r="A91" s="119"/>
      <c r="B91" s="120"/>
      <c r="C91" s="80"/>
      <c r="D91" s="72"/>
      <c r="E91" s="72"/>
      <c r="F91" s="72"/>
      <c r="G91" s="118"/>
      <c r="H91" s="72"/>
      <c r="I91" s="72"/>
      <c r="J91" s="118"/>
      <c r="K91" s="72"/>
      <c r="L91" s="72"/>
      <c r="M91" s="72"/>
      <c r="N91" s="72"/>
      <c r="O91" s="72"/>
      <c r="P91" s="72"/>
      <c r="Q91" s="110"/>
      <c r="R91" s="73"/>
      <c r="S91" s="118"/>
      <c r="T91" s="72"/>
      <c r="U91" s="72"/>
      <c r="V91" s="118"/>
      <c r="W91" s="72"/>
      <c r="X91" s="72"/>
      <c r="Y91" s="118"/>
      <c r="Z91" s="72"/>
      <c r="AA91" s="72"/>
      <c r="AB91" s="118"/>
      <c r="AC91" s="72"/>
      <c r="AD91" s="72"/>
      <c r="AE91" s="118"/>
      <c r="AF91" s="72"/>
      <c r="AG91" s="72"/>
      <c r="AH91" s="118"/>
      <c r="AI91" s="72"/>
      <c r="AJ91" s="72"/>
      <c r="AK91" s="118"/>
      <c r="AL91" s="72"/>
      <c r="AM91" s="72"/>
      <c r="AN91" s="118"/>
      <c r="AO91" s="70"/>
      <c r="AP91" s="89" t="s">
        <v>24</v>
      </c>
      <c r="AQ91" s="70">
        <v>2</v>
      </c>
      <c r="AR91" s="70">
        <v>0.7</v>
      </c>
      <c r="AS91" s="70">
        <v>0.7</v>
      </c>
      <c r="AT91" s="70">
        <v>0.3</v>
      </c>
      <c r="AU91" s="70">
        <v>0</v>
      </c>
      <c r="AV91" s="70">
        <v>1.3</v>
      </c>
      <c r="AW91" s="70">
        <v>0.3</v>
      </c>
      <c r="AX91" s="70">
        <v>0.7</v>
      </c>
      <c r="AY91" s="70">
        <v>2.2999999999999998</v>
      </c>
      <c r="AZ91" s="70">
        <v>1</v>
      </c>
      <c r="BA91" s="95">
        <v>2</v>
      </c>
      <c r="BB91" s="70"/>
      <c r="BC91" s="70"/>
    </row>
    <row r="92" spans="1:55" ht="17.25" thickBot="1" x14ac:dyDescent="0.4">
      <c r="A92" s="119" t="s">
        <v>408</v>
      </c>
      <c r="B92" s="80" t="s">
        <v>409</v>
      </c>
      <c r="C92" s="80"/>
      <c r="D92" s="72" t="s">
        <v>2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0"/>
      <c r="AP92" s="96" t="s">
        <v>361</v>
      </c>
      <c r="AQ92" s="97">
        <v>0.3</v>
      </c>
      <c r="AR92" s="97">
        <v>1.7</v>
      </c>
      <c r="AS92" s="97">
        <v>1.3</v>
      </c>
      <c r="AT92" s="97">
        <v>0.7</v>
      </c>
      <c r="AU92" s="97">
        <v>1.3</v>
      </c>
      <c r="AV92" s="97">
        <v>1</v>
      </c>
      <c r="AW92" s="97">
        <v>1</v>
      </c>
      <c r="AX92" s="97">
        <v>0.7</v>
      </c>
      <c r="AY92" s="97">
        <v>2</v>
      </c>
      <c r="AZ92" s="97">
        <v>0.3</v>
      </c>
      <c r="BA92" s="98">
        <v>0</v>
      </c>
      <c r="BB92" s="70"/>
      <c r="BC92" s="70"/>
    </row>
    <row r="93" spans="1:55" x14ac:dyDescent="0.35">
      <c r="A93" s="119"/>
      <c r="B93" s="80" t="s">
        <v>410</v>
      </c>
      <c r="C93" s="80"/>
      <c r="D93" s="72" t="s">
        <v>2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0"/>
      <c r="AP93" s="92" t="s">
        <v>382</v>
      </c>
      <c r="AQ93" s="92">
        <v>0.57999999999999996</v>
      </c>
      <c r="AR93" s="92">
        <v>1.64</v>
      </c>
      <c r="AS93" s="92">
        <v>1.9</v>
      </c>
      <c r="AT93" s="92">
        <v>0.4</v>
      </c>
      <c r="AU93" s="92">
        <v>0.56000000000000005</v>
      </c>
      <c r="AV93" s="92">
        <v>1.28</v>
      </c>
      <c r="AW93" s="92">
        <v>0.94</v>
      </c>
      <c r="AX93" s="92">
        <v>0.84</v>
      </c>
      <c r="AY93" s="92">
        <v>1.28</v>
      </c>
      <c r="AZ93" s="92">
        <v>0.34</v>
      </c>
      <c r="BA93" s="92">
        <v>1.04</v>
      </c>
      <c r="BB93" s="70"/>
      <c r="BC93" s="70"/>
    </row>
    <row r="94" spans="1:55" ht="30" x14ac:dyDescent="0.35">
      <c r="A94" s="119"/>
      <c r="B94" s="80" t="s">
        <v>411</v>
      </c>
      <c r="C94" s="80"/>
      <c r="D94" s="72" t="s">
        <v>2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</row>
    <row r="95" spans="1:55" x14ac:dyDescent="0.35">
      <c r="A95" s="119"/>
      <c r="B95" s="80" t="s">
        <v>412</v>
      </c>
      <c r="C95" s="80"/>
      <c r="D95" s="72" t="s">
        <v>2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</row>
    <row r="96" spans="1:55" x14ac:dyDescent="0.35">
      <c r="A96" s="119"/>
      <c r="B96" s="80" t="s">
        <v>413</v>
      </c>
      <c r="C96" s="80"/>
      <c r="D96" s="72" t="s">
        <v>2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</row>
    <row r="97" spans="1:55" x14ac:dyDescent="0.35">
      <c r="A97" s="119"/>
      <c r="B97" s="80" t="s">
        <v>414</v>
      </c>
      <c r="C97" s="80"/>
      <c r="D97" s="72" t="s">
        <v>2</v>
      </c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</row>
    <row r="98" spans="1:55" x14ac:dyDescent="0.35">
      <c r="A98" s="70"/>
      <c r="B98" s="70"/>
      <c r="C98" s="70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</row>
    <row r="99" spans="1:55" x14ac:dyDescent="0.35">
      <c r="A99" s="70"/>
      <c r="B99" s="70"/>
      <c r="C99" s="70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</row>
    <row r="100" spans="1:55" x14ac:dyDescent="0.35">
      <c r="A100" s="70"/>
      <c r="B100" s="70"/>
      <c r="C100" s="70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</row>
    <row r="101" spans="1:55" x14ac:dyDescent="0.35">
      <c r="A101" s="70" t="s">
        <v>639</v>
      </c>
      <c r="B101" s="112">
        <v>46218</v>
      </c>
      <c r="C101" s="70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</row>
    <row r="102" spans="1:55" x14ac:dyDescent="0.35">
      <c r="A102" s="70"/>
      <c r="B102" s="70"/>
      <c r="C102" s="70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</row>
    <row r="103" spans="1:55" x14ac:dyDescent="0.35">
      <c r="A103" s="70"/>
      <c r="B103" s="70"/>
      <c r="C103" s="70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</row>
    <row r="104" spans="1:55" x14ac:dyDescent="0.35">
      <c r="A104" s="70"/>
      <c r="B104" s="70"/>
      <c r="C104" s="70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</row>
    <row r="105" spans="1:55" x14ac:dyDescent="0.35">
      <c r="A105" s="70"/>
      <c r="B105" s="70"/>
      <c r="C105" s="70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</row>
    <row r="106" spans="1:55" x14ac:dyDescent="0.35">
      <c r="A106" s="70"/>
      <c r="B106" s="70"/>
      <c r="C106" s="70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</row>
    <row r="107" spans="1:55" x14ac:dyDescent="0.35">
      <c r="A107" s="70"/>
      <c r="B107" s="70"/>
      <c r="C107" s="70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</row>
    <row r="108" spans="1:55" x14ac:dyDescent="0.35">
      <c r="A108" s="70"/>
      <c r="B108" s="70"/>
      <c r="C108" s="70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</row>
    <row r="109" spans="1:55" x14ac:dyDescent="0.35">
      <c r="A109" s="70"/>
      <c r="B109" s="70"/>
      <c r="C109" s="70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</row>
    <row r="110" spans="1:55" x14ac:dyDescent="0.35">
      <c r="A110" s="70"/>
      <c r="B110" s="70"/>
      <c r="C110" s="70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</row>
    <row r="111" spans="1:55" x14ac:dyDescent="0.35">
      <c r="A111" s="70"/>
      <c r="B111" s="70"/>
      <c r="C111" s="70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</row>
    <row r="112" spans="1:55" x14ac:dyDescent="0.35">
      <c r="A112" s="70"/>
      <c r="B112" s="70"/>
      <c r="C112" s="70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</row>
    <row r="113" spans="1:55" x14ac:dyDescent="0.35">
      <c r="A113" s="70"/>
      <c r="B113" s="70"/>
      <c r="C113" s="70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</row>
    <row r="114" spans="1:55" x14ac:dyDescent="0.35">
      <c r="A114" s="70"/>
      <c r="B114" s="70"/>
      <c r="C114" s="70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</row>
    <row r="115" spans="1:55" x14ac:dyDescent="0.35">
      <c r="A115" s="70"/>
      <c r="B115" s="70"/>
      <c r="C115" s="70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</row>
    <row r="116" spans="1:55" x14ac:dyDescent="0.35">
      <c r="A116" s="70"/>
      <c r="B116" s="70"/>
      <c r="C116" s="70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</row>
    <row r="117" spans="1:55" x14ac:dyDescent="0.35">
      <c r="A117" s="70"/>
      <c r="B117" s="70"/>
      <c r="C117" s="70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</row>
    <row r="118" spans="1:55" x14ac:dyDescent="0.35">
      <c r="A118" s="70"/>
      <c r="B118" s="70"/>
      <c r="C118" s="70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</row>
    <row r="119" spans="1:55" x14ac:dyDescent="0.35">
      <c r="A119" s="70"/>
      <c r="B119" s="70"/>
      <c r="C119" s="70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</row>
    <row r="120" spans="1:55" x14ac:dyDescent="0.35">
      <c r="A120" s="70"/>
      <c r="B120" s="70"/>
      <c r="C120" s="70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</row>
    <row r="121" spans="1:55" x14ac:dyDescent="0.35">
      <c r="A121" s="70"/>
      <c r="B121" s="70"/>
      <c r="C121" s="70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</row>
    <row r="122" spans="1:55" x14ac:dyDescent="0.35">
      <c r="A122" s="70"/>
      <c r="B122" s="70"/>
      <c r="C122" s="70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</row>
    <row r="123" spans="1:55" x14ac:dyDescent="0.35">
      <c r="A123" s="70"/>
      <c r="B123" s="70"/>
      <c r="C123" s="70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</row>
    <row r="124" spans="1:55" x14ac:dyDescent="0.35">
      <c r="A124" s="70"/>
      <c r="B124" s="70"/>
      <c r="C124" s="70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</row>
    <row r="125" spans="1:55" x14ac:dyDescent="0.35">
      <c r="A125" s="70"/>
      <c r="B125" s="70"/>
      <c r="C125" s="70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</row>
    <row r="126" spans="1:55" x14ac:dyDescent="0.35">
      <c r="A126" s="70"/>
      <c r="B126" s="70"/>
      <c r="C126" s="70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</row>
    <row r="127" spans="1:55" x14ac:dyDescent="0.35">
      <c r="A127" s="70"/>
      <c r="B127" s="70"/>
      <c r="C127" s="70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</row>
    <row r="128" spans="1:55" x14ac:dyDescent="0.35">
      <c r="A128" s="70"/>
      <c r="B128" s="70"/>
      <c r="C128" s="70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  <c r="BC128" s="70"/>
    </row>
    <row r="129" spans="1:55" x14ac:dyDescent="0.35">
      <c r="A129" s="70"/>
      <c r="B129" s="70"/>
      <c r="C129" s="70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70"/>
    </row>
  </sheetData>
  <mergeCells count="159">
    <mergeCell ref="X1:Y1"/>
    <mergeCell ref="AA1:AB1"/>
    <mergeCell ref="AD1:AE1"/>
    <mergeCell ref="AG1:AH1"/>
    <mergeCell ref="AJ1:AK1"/>
    <mergeCell ref="AM1:AN1"/>
    <mergeCell ref="F1:G1"/>
    <mergeCell ref="I1:J1"/>
    <mergeCell ref="O1:P1"/>
    <mergeCell ref="R1:S1"/>
    <mergeCell ref="U1:V1"/>
    <mergeCell ref="AN3:AN8"/>
    <mergeCell ref="B9:B17"/>
    <mergeCell ref="G9:G17"/>
    <mergeCell ref="J9:J17"/>
    <mergeCell ref="S9:S17"/>
    <mergeCell ref="V9:V17"/>
    <mergeCell ref="Y9:Y17"/>
    <mergeCell ref="AB9:AB17"/>
    <mergeCell ref="AE9:AE17"/>
    <mergeCell ref="V3:V8"/>
    <mergeCell ref="Y3:Y8"/>
    <mergeCell ref="AB3:AB8"/>
    <mergeCell ref="AE3:AE8"/>
    <mergeCell ref="AH3:AH8"/>
    <mergeCell ref="AK3:AK8"/>
    <mergeCell ref="B3:B8"/>
    <mergeCell ref="G3:G8"/>
    <mergeCell ref="J3:J8"/>
    <mergeCell ref="S3:S8"/>
    <mergeCell ref="AB18:AB29"/>
    <mergeCell ref="AE18:AE29"/>
    <mergeCell ref="AH18:AH29"/>
    <mergeCell ref="AK18:AK29"/>
    <mergeCell ref="AN18:AN29"/>
    <mergeCell ref="B26:B29"/>
    <mergeCell ref="AH9:AH17"/>
    <mergeCell ref="AK9:AK17"/>
    <mergeCell ref="AN9:AN17"/>
    <mergeCell ref="B18:B23"/>
    <mergeCell ref="G18:G29"/>
    <mergeCell ref="J18:J29"/>
    <mergeCell ref="S18:S29"/>
    <mergeCell ref="V18:V29"/>
    <mergeCell ref="Y18:Y29"/>
    <mergeCell ref="AK31:AK41"/>
    <mergeCell ref="AN31:AN41"/>
    <mergeCell ref="B42:B45"/>
    <mergeCell ref="B46:B57"/>
    <mergeCell ref="G46:G57"/>
    <mergeCell ref="J46:J57"/>
    <mergeCell ref="S46:S57"/>
    <mergeCell ref="V46:V57"/>
    <mergeCell ref="Y46:Y57"/>
    <mergeCell ref="S31:S41"/>
    <mergeCell ref="V31:V41"/>
    <mergeCell ref="Y31:Y41"/>
    <mergeCell ref="AB31:AB41"/>
    <mergeCell ref="AE31:AE41"/>
    <mergeCell ref="AH31:AH41"/>
    <mergeCell ref="B30:B41"/>
    <mergeCell ref="G31:G41"/>
    <mergeCell ref="J31:J41"/>
    <mergeCell ref="AB46:AB57"/>
    <mergeCell ref="AE46:AE57"/>
    <mergeCell ref="AH46:AH57"/>
    <mergeCell ref="AK46:AK57"/>
    <mergeCell ref="AN46:AN57"/>
    <mergeCell ref="B58:B63"/>
    <mergeCell ref="G58:G63"/>
    <mergeCell ref="J58:J63"/>
    <mergeCell ref="S58:S63"/>
    <mergeCell ref="AN58:AN63"/>
    <mergeCell ref="B64:B65"/>
    <mergeCell ref="G64:G65"/>
    <mergeCell ref="J64:J65"/>
    <mergeCell ref="S64:S65"/>
    <mergeCell ref="V64:V65"/>
    <mergeCell ref="Y64:Y65"/>
    <mergeCell ref="AB64:AB65"/>
    <mergeCell ref="AE64:AE65"/>
    <mergeCell ref="V58:V63"/>
    <mergeCell ref="Y58:Y63"/>
    <mergeCell ref="AB58:AB63"/>
    <mergeCell ref="AE58:AE63"/>
    <mergeCell ref="AH58:AH63"/>
    <mergeCell ref="AK58:AK63"/>
    <mergeCell ref="AH64:AH65"/>
    <mergeCell ref="AK64:AK65"/>
    <mergeCell ref="AN64:AN65"/>
    <mergeCell ref="B66:B68"/>
    <mergeCell ref="G66:G68"/>
    <mergeCell ref="J66:J68"/>
    <mergeCell ref="S66:S68"/>
    <mergeCell ref="V66:V68"/>
    <mergeCell ref="Y66:Y68"/>
    <mergeCell ref="AB66:AB68"/>
    <mergeCell ref="AE66:AE68"/>
    <mergeCell ref="AH66:AH68"/>
    <mergeCell ref="AK66:AK68"/>
    <mergeCell ref="AN66:AN68"/>
    <mergeCell ref="A69:A91"/>
    <mergeCell ref="B69:B70"/>
    <mergeCell ref="G69:G70"/>
    <mergeCell ref="J69:J70"/>
    <mergeCell ref="A3:A68"/>
    <mergeCell ref="B78:B85"/>
    <mergeCell ref="G78:G85"/>
    <mergeCell ref="J78:J85"/>
    <mergeCell ref="S78:S85"/>
    <mergeCell ref="V78:V85"/>
    <mergeCell ref="AK69:AK70"/>
    <mergeCell ref="AN69:AN70"/>
    <mergeCell ref="B71:B77"/>
    <mergeCell ref="G71:G77"/>
    <mergeCell ref="J71:J77"/>
    <mergeCell ref="S71:S77"/>
    <mergeCell ref="V71:V77"/>
    <mergeCell ref="Y71:Y77"/>
    <mergeCell ref="AB71:AB77"/>
    <mergeCell ref="S69:S70"/>
    <mergeCell ref="V69:V70"/>
    <mergeCell ref="Y69:Y70"/>
    <mergeCell ref="AB69:AB70"/>
    <mergeCell ref="AE69:AE70"/>
    <mergeCell ref="AH69:AH70"/>
    <mergeCell ref="Y78:Y85"/>
    <mergeCell ref="AB78:AB85"/>
    <mergeCell ref="AE78:AE85"/>
    <mergeCell ref="AH78:AH85"/>
    <mergeCell ref="AK78:AK85"/>
    <mergeCell ref="AN78:AN85"/>
    <mergeCell ref="AE71:AE77"/>
    <mergeCell ref="AH71:AH77"/>
    <mergeCell ref="AK71:AK77"/>
    <mergeCell ref="AN71:AN77"/>
    <mergeCell ref="Y86:Y88"/>
    <mergeCell ref="AB86:AB88"/>
    <mergeCell ref="AE86:AE88"/>
    <mergeCell ref="AH86:AH88"/>
    <mergeCell ref="AK86:AK88"/>
    <mergeCell ref="AN86:AN88"/>
    <mergeCell ref="B86:B88"/>
    <mergeCell ref="G86:G88"/>
    <mergeCell ref="J86:J88"/>
    <mergeCell ref="S86:S88"/>
    <mergeCell ref="V86:V88"/>
    <mergeCell ref="A92:A97"/>
    <mergeCell ref="Y89:Y91"/>
    <mergeCell ref="AB89:AB91"/>
    <mergeCell ref="AE89:AE91"/>
    <mergeCell ref="AH89:AH91"/>
    <mergeCell ref="AK89:AK91"/>
    <mergeCell ref="AN89:AN91"/>
    <mergeCell ref="B89:B91"/>
    <mergeCell ref="G89:G91"/>
    <mergeCell ref="J89:J91"/>
    <mergeCell ref="S89:S91"/>
    <mergeCell ref="V89:V91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504E-F4B1-4590-9FA3-19913CAF248F}">
  <dimension ref="A1:BF129"/>
  <sheetViews>
    <sheetView zoomScaleNormal="100" workbookViewId="0">
      <pane xSplit="7" ySplit="1" topLeftCell="W87" activePane="bottomRight" state="frozen"/>
      <selection pane="topRight" activeCell="H1" sqref="H1"/>
      <selection pane="bottomLeft" activeCell="A2" sqref="A2"/>
      <selection pane="bottomRight" activeCell="B102" sqref="B102"/>
    </sheetView>
  </sheetViews>
  <sheetFormatPr defaultColWidth="9" defaultRowHeight="16.5" x14ac:dyDescent="0.35"/>
  <cols>
    <col min="1" max="1" width="13.28515625" style="9" customWidth="1"/>
    <col min="2" max="2" width="13.7109375" style="9" customWidth="1"/>
    <col min="3" max="3" width="31.85546875" style="9" customWidth="1"/>
    <col min="4" max="4" width="9" style="14"/>
    <col min="5" max="5" width="13.140625" style="14" bestFit="1" customWidth="1"/>
    <col min="6" max="6" width="4.42578125" style="14" bestFit="1" customWidth="1"/>
    <col min="7" max="7" width="4.42578125" style="14" customWidth="1"/>
    <col min="8" max="8" width="15.85546875" style="14" customWidth="1"/>
    <col min="9" max="9" width="4.42578125" style="14" bestFit="1" customWidth="1"/>
    <col min="10" max="10" width="4.42578125" style="14" customWidth="1"/>
    <col min="11" max="11" width="17.28515625" style="14" customWidth="1"/>
    <col min="12" max="13" width="4.42578125" style="14" customWidth="1"/>
    <col min="14" max="14" width="15.7109375" style="9" customWidth="1"/>
    <col min="15" max="15" width="4.42578125" style="9" bestFit="1" customWidth="1"/>
    <col min="16" max="16" width="4.42578125" style="9" customWidth="1"/>
    <col min="17" max="17" width="17" style="9" customWidth="1"/>
    <col min="18" max="18" width="4.42578125" style="9" bestFit="1" customWidth="1"/>
    <col min="19" max="19" width="4.42578125" style="9" customWidth="1"/>
    <col min="20" max="20" width="13.140625" style="9" bestFit="1" customWidth="1"/>
    <col min="21" max="21" width="4.42578125" style="9" bestFit="1" customWidth="1"/>
    <col min="22" max="22" width="4.42578125" style="9" customWidth="1"/>
    <col min="23" max="23" width="11.5703125" style="9" bestFit="1" customWidth="1"/>
    <col min="24" max="24" width="4.42578125" style="9" bestFit="1" customWidth="1"/>
    <col min="25" max="25" width="4.42578125" style="9" customWidth="1"/>
    <col min="26" max="26" width="13.5703125" style="9" customWidth="1"/>
    <col min="27" max="27" width="4.42578125" style="9" bestFit="1" customWidth="1"/>
    <col min="28" max="28" width="4.42578125" style="9" customWidth="1"/>
    <col min="29" max="29" width="12.7109375" style="9" bestFit="1" customWidth="1"/>
    <col min="30" max="30" width="4.42578125" style="9" bestFit="1" customWidth="1"/>
    <col min="31" max="31" width="4.42578125" style="9" customWidth="1"/>
    <col min="32" max="32" width="13.5703125" style="9" bestFit="1" customWidth="1"/>
    <col min="33" max="33" width="4.42578125" style="9" bestFit="1" customWidth="1"/>
    <col min="34" max="34" width="4.42578125" style="9" customWidth="1"/>
    <col min="35" max="35" width="12.5703125" style="9" bestFit="1" customWidth="1"/>
    <col min="36" max="36" width="4.42578125" style="9" bestFit="1" customWidth="1"/>
    <col min="37" max="37" width="4.42578125" style="9" customWidth="1"/>
    <col min="38" max="38" width="13.140625" style="9" bestFit="1" customWidth="1"/>
    <col min="39" max="39" width="4.42578125" style="9" bestFit="1" customWidth="1"/>
    <col min="40" max="40" width="4.42578125" style="9" customWidth="1"/>
    <col min="41" max="41" width="12.5703125" style="9" customWidth="1"/>
    <col min="42" max="43" width="4.42578125" style="9" bestFit="1" customWidth="1"/>
    <col min="44" max="44" width="10.28515625" style="9" customWidth="1"/>
    <col min="45" max="16384" width="9" style="9"/>
  </cols>
  <sheetData>
    <row r="1" spans="1:58" ht="34.5" customHeight="1" x14ac:dyDescent="0.35">
      <c r="A1" s="76" t="s">
        <v>313</v>
      </c>
      <c r="B1" s="76" t="s">
        <v>314</v>
      </c>
      <c r="C1" s="77" t="s">
        <v>315</v>
      </c>
      <c r="D1" s="78" t="s">
        <v>316</v>
      </c>
      <c r="E1" s="78" t="s">
        <v>629</v>
      </c>
      <c r="F1" s="134" t="s">
        <v>317</v>
      </c>
      <c r="G1" s="135"/>
      <c r="H1" s="78" t="s">
        <v>640</v>
      </c>
      <c r="I1" s="134" t="s">
        <v>317</v>
      </c>
      <c r="J1" s="135"/>
      <c r="K1" s="77" t="s">
        <v>641</v>
      </c>
      <c r="L1" s="77"/>
      <c r="M1" s="77"/>
      <c r="N1" s="78" t="s">
        <v>647</v>
      </c>
      <c r="O1" s="134" t="s">
        <v>317</v>
      </c>
      <c r="P1" s="135"/>
      <c r="Q1" s="78" t="s">
        <v>652</v>
      </c>
      <c r="R1" s="134" t="s">
        <v>317</v>
      </c>
      <c r="S1" s="135"/>
      <c r="T1" s="78" t="s">
        <v>654</v>
      </c>
      <c r="U1" s="134" t="s">
        <v>317</v>
      </c>
      <c r="V1" s="135"/>
      <c r="W1" s="78" t="s">
        <v>658</v>
      </c>
      <c r="X1" s="134" t="s">
        <v>317</v>
      </c>
      <c r="Y1" s="135"/>
      <c r="Z1" s="78" t="s">
        <v>664</v>
      </c>
      <c r="AA1" s="134" t="s">
        <v>317</v>
      </c>
      <c r="AB1" s="135"/>
      <c r="AC1" s="78" t="s">
        <v>665</v>
      </c>
      <c r="AD1" s="134" t="s">
        <v>317</v>
      </c>
      <c r="AE1" s="135"/>
      <c r="AF1" s="78"/>
      <c r="AG1" s="134" t="s">
        <v>317</v>
      </c>
      <c r="AH1" s="135"/>
      <c r="AI1" s="78"/>
      <c r="AJ1" s="134" t="s">
        <v>317</v>
      </c>
      <c r="AK1" s="135"/>
      <c r="AL1" s="78"/>
      <c r="AM1" s="134" t="s">
        <v>317</v>
      </c>
      <c r="AN1" s="135"/>
      <c r="AO1" s="78"/>
      <c r="AP1" s="134" t="s">
        <v>317</v>
      </c>
      <c r="AQ1" s="135"/>
      <c r="AR1" s="70"/>
      <c r="AS1" s="79" t="s">
        <v>318</v>
      </c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</row>
    <row r="2" spans="1:58" s="61" customFormat="1" ht="30" x14ac:dyDescent="0.35">
      <c r="A2" s="99" t="s">
        <v>557</v>
      </c>
      <c r="B2" s="101" t="s">
        <v>559</v>
      </c>
      <c r="C2" s="101" t="s">
        <v>573</v>
      </c>
      <c r="D2" s="101" t="s">
        <v>558</v>
      </c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90"/>
      <c r="AS2" s="10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</row>
    <row r="3" spans="1:58" ht="15" customHeight="1" x14ac:dyDescent="0.35">
      <c r="A3" s="136" t="s">
        <v>319</v>
      </c>
      <c r="B3" s="126" t="s">
        <v>320</v>
      </c>
      <c r="C3" s="80" t="s">
        <v>527</v>
      </c>
      <c r="D3" s="80" t="s">
        <v>0</v>
      </c>
      <c r="E3" s="80">
        <v>41843</v>
      </c>
      <c r="F3" s="80"/>
      <c r="G3" s="130"/>
      <c r="H3" s="80">
        <v>43027</v>
      </c>
      <c r="I3" s="80"/>
      <c r="J3" s="130"/>
      <c r="K3" s="80">
        <v>43803</v>
      </c>
      <c r="L3" s="80"/>
      <c r="M3" s="80"/>
      <c r="N3" s="72">
        <v>42710</v>
      </c>
      <c r="O3" s="72"/>
      <c r="P3" s="122"/>
      <c r="Q3" s="72">
        <v>41320</v>
      </c>
      <c r="R3" s="72"/>
      <c r="S3" s="122"/>
      <c r="T3" s="72">
        <v>40950</v>
      </c>
      <c r="U3" s="72"/>
      <c r="V3" s="122"/>
      <c r="W3" s="72">
        <v>45230</v>
      </c>
      <c r="X3" s="72"/>
      <c r="Y3" s="122"/>
      <c r="Z3" s="72"/>
      <c r="AA3" s="72"/>
      <c r="AB3" s="122"/>
      <c r="AC3" s="72">
        <v>44493</v>
      </c>
      <c r="AD3" s="72"/>
      <c r="AE3" s="122"/>
      <c r="AF3" s="72"/>
      <c r="AG3" s="72"/>
      <c r="AH3" s="122"/>
      <c r="AI3" s="72"/>
      <c r="AJ3" s="72"/>
      <c r="AK3" s="122"/>
      <c r="AL3" s="72"/>
      <c r="AM3" s="72"/>
      <c r="AN3" s="122"/>
      <c r="AO3" s="72"/>
      <c r="AP3" s="72"/>
      <c r="AQ3" s="122"/>
      <c r="AR3" s="70" t="s">
        <v>320</v>
      </c>
      <c r="AS3" s="81" t="s">
        <v>322</v>
      </c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</row>
    <row r="4" spans="1:58" ht="13.9" customHeight="1" x14ac:dyDescent="0.35">
      <c r="A4" s="137"/>
      <c r="B4" s="126"/>
      <c r="C4" s="80" t="s">
        <v>323</v>
      </c>
      <c r="D4" s="80" t="s">
        <v>1</v>
      </c>
      <c r="E4" s="80">
        <v>3280</v>
      </c>
      <c r="F4" s="80"/>
      <c r="G4" s="133"/>
      <c r="H4" s="80">
        <v>3314</v>
      </c>
      <c r="I4" s="80"/>
      <c r="J4" s="133"/>
      <c r="K4" s="80">
        <v>3314</v>
      </c>
      <c r="L4" s="80"/>
      <c r="M4" s="80"/>
      <c r="N4" s="72">
        <v>3340</v>
      </c>
      <c r="O4" s="72"/>
      <c r="P4" s="118"/>
      <c r="Q4" s="72">
        <v>3330</v>
      </c>
      <c r="R4" s="72"/>
      <c r="S4" s="118"/>
      <c r="T4" s="72">
        <v>3300</v>
      </c>
      <c r="U4" s="72"/>
      <c r="V4" s="118"/>
      <c r="W4" s="72" t="s">
        <v>659</v>
      </c>
      <c r="X4" s="72"/>
      <c r="Y4" s="118"/>
      <c r="Z4" s="72">
        <v>3400</v>
      </c>
      <c r="AA4" s="72"/>
      <c r="AB4" s="118"/>
      <c r="AC4" s="72">
        <v>3340</v>
      </c>
      <c r="AD4" s="72"/>
      <c r="AE4" s="118"/>
      <c r="AF4" s="72"/>
      <c r="AG4" s="72"/>
      <c r="AH4" s="118"/>
      <c r="AI4" s="72"/>
      <c r="AJ4" s="72"/>
      <c r="AK4" s="118"/>
      <c r="AL4" s="72"/>
      <c r="AM4" s="72"/>
      <c r="AN4" s="118"/>
      <c r="AO4" s="72"/>
      <c r="AP4" s="72"/>
      <c r="AQ4" s="118"/>
      <c r="AR4" s="70" t="s">
        <v>324</v>
      </c>
      <c r="AS4" s="81" t="s">
        <v>325</v>
      </c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</row>
    <row r="5" spans="1:58" ht="13.9" customHeight="1" x14ac:dyDescent="0.35">
      <c r="A5" s="137"/>
      <c r="B5" s="126"/>
      <c r="C5" s="80" t="s">
        <v>326</v>
      </c>
      <c r="D5" s="80" t="s">
        <v>1</v>
      </c>
      <c r="E5" s="80">
        <v>3898</v>
      </c>
      <c r="F5" s="80"/>
      <c r="G5" s="133"/>
      <c r="H5" s="80">
        <v>3805</v>
      </c>
      <c r="I5" s="80"/>
      <c r="J5" s="133"/>
      <c r="K5" s="80">
        <v>3805</v>
      </c>
      <c r="L5" s="80"/>
      <c r="M5" s="80"/>
      <c r="N5" s="72">
        <v>3753</v>
      </c>
      <c r="O5" s="72"/>
      <c r="P5" s="118"/>
      <c r="Q5" s="72">
        <v>3850</v>
      </c>
      <c r="R5" s="72"/>
      <c r="S5" s="118"/>
      <c r="T5" s="72">
        <v>3835</v>
      </c>
      <c r="U5" s="72"/>
      <c r="V5" s="118"/>
      <c r="W5" s="72" t="s">
        <v>661</v>
      </c>
      <c r="X5" s="72"/>
      <c r="Y5" s="118"/>
      <c r="Z5" s="72">
        <v>3960</v>
      </c>
      <c r="AA5" s="72"/>
      <c r="AB5" s="118"/>
      <c r="AC5" s="72">
        <v>3810</v>
      </c>
      <c r="AD5" s="72"/>
      <c r="AE5" s="118"/>
      <c r="AF5" s="72"/>
      <c r="AG5" s="72"/>
      <c r="AH5" s="118"/>
      <c r="AI5" s="72"/>
      <c r="AJ5" s="72"/>
      <c r="AK5" s="118"/>
      <c r="AL5" s="72"/>
      <c r="AM5" s="72"/>
      <c r="AN5" s="118"/>
      <c r="AO5" s="72"/>
      <c r="AP5" s="72"/>
      <c r="AQ5" s="118"/>
      <c r="AR5" s="70" t="s">
        <v>327</v>
      </c>
      <c r="AS5" s="81" t="s">
        <v>328</v>
      </c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</row>
    <row r="6" spans="1:58" ht="13.9" customHeight="1" x14ac:dyDescent="0.35">
      <c r="A6" s="137"/>
      <c r="B6" s="126"/>
      <c r="C6" s="80" t="s">
        <v>329</v>
      </c>
      <c r="D6" s="80" t="s">
        <v>1</v>
      </c>
      <c r="E6" s="80">
        <v>14468</v>
      </c>
      <c r="F6" s="80"/>
      <c r="G6" s="133"/>
      <c r="H6" s="80">
        <v>14377</v>
      </c>
      <c r="I6" s="80"/>
      <c r="J6" s="133"/>
      <c r="K6" s="80">
        <v>15186</v>
      </c>
      <c r="L6" s="80"/>
      <c r="M6" s="80"/>
      <c r="N6" s="72">
        <v>14429</v>
      </c>
      <c r="O6" s="72"/>
      <c r="P6" s="118"/>
      <c r="Q6" s="72">
        <v>14910</v>
      </c>
      <c r="R6" s="72"/>
      <c r="S6" s="118"/>
      <c r="T6" s="72">
        <v>14450</v>
      </c>
      <c r="U6" s="72"/>
      <c r="V6" s="118"/>
      <c r="W6" s="72">
        <v>14105</v>
      </c>
      <c r="X6" s="72"/>
      <c r="Y6" s="118"/>
      <c r="Z6" s="72">
        <v>14930</v>
      </c>
      <c r="AA6" s="72"/>
      <c r="AB6" s="118"/>
      <c r="AC6" s="72">
        <v>14570</v>
      </c>
      <c r="AD6" s="72"/>
      <c r="AE6" s="118"/>
      <c r="AF6" s="72"/>
      <c r="AG6" s="72"/>
      <c r="AH6" s="118"/>
      <c r="AI6" s="72"/>
      <c r="AJ6" s="72"/>
      <c r="AK6" s="118"/>
      <c r="AL6" s="72"/>
      <c r="AM6" s="72"/>
      <c r="AN6" s="118"/>
      <c r="AO6" s="72"/>
      <c r="AP6" s="72"/>
      <c r="AQ6" s="118"/>
      <c r="AR6" s="70"/>
      <c r="AS6" s="81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</row>
    <row r="7" spans="1:58" ht="13.9" customHeight="1" x14ac:dyDescent="0.35">
      <c r="A7" s="137"/>
      <c r="B7" s="126"/>
      <c r="C7" s="80" t="s">
        <v>554</v>
      </c>
      <c r="D7" s="80" t="s">
        <v>0</v>
      </c>
      <c r="E7" s="80">
        <v>11500</v>
      </c>
      <c r="F7" s="80"/>
      <c r="G7" s="133"/>
      <c r="H7" s="80">
        <v>9117</v>
      </c>
      <c r="I7" s="80"/>
      <c r="J7" s="133"/>
      <c r="K7" s="80">
        <v>11204</v>
      </c>
      <c r="L7" s="80"/>
      <c r="M7" s="80"/>
      <c r="N7" s="72">
        <v>12200</v>
      </c>
      <c r="O7" s="72"/>
      <c r="P7" s="118"/>
      <c r="Q7" s="72">
        <v>13200</v>
      </c>
      <c r="R7" s="72"/>
      <c r="S7" s="118"/>
      <c r="T7" s="72">
        <v>13000</v>
      </c>
      <c r="U7" s="72"/>
      <c r="V7" s="118"/>
      <c r="W7" s="72">
        <v>10000</v>
      </c>
      <c r="X7" s="72"/>
      <c r="Y7" s="118"/>
      <c r="Z7" s="72"/>
      <c r="AA7" s="72"/>
      <c r="AB7" s="118"/>
      <c r="AC7" s="72">
        <v>12500</v>
      </c>
      <c r="AD7" s="72"/>
      <c r="AE7" s="118"/>
      <c r="AF7" s="72"/>
      <c r="AG7" s="72"/>
      <c r="AH7" s="118"/>
      <c r="AI7" s="72"/>
      <c r="AJ7" s="72"/>
      <c r="AK7" s="118"/>
      <c r="AL7" s="72"/>
      <c r="AM7" s="72"/>
      <c r="AN7" s="118"/>
      <c r="AO7" s="72"/>
      <c r="AP7" s="72"/>
      <c r="AQ7" s="118"/>
      <c r="AR7" s="70"/>
      <c r="AS7" s="81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</row>
    <row r="8" spans="1:58" ht="15" customHeight="1" x14ac:dyDescent="0.35">
      <c r="A8" s="137"/>
      <c r="B8" s="126"/>
      <c r="C8" s="10" t="s">
        <v>555</v>
      </c>
      <c r="D8" s="7"/>
      <c r="E8" s="80">
        <v>2</v>
      </c>
      <c r="F8" s="80"/>
      <c r="G8" s="131"/>
      <c r="H8" s="80" t="s">
        <v>644</v>
      </c>
      <c r="I8" s="80"/>
      <c r="J8" s="131"/>
      <c r="K8" s="80" t="s">
        <v>644</v>
      </c>
      <c r="L8" s="80"/>
      <c r="M8" s="80"/>
      <c r="N8" s="72">
        <v>3</v>
      </c>
      <c r="O8" s="72"/>
      <c r="P8" s="125"/>
      <c r="Q8" s="72">
        <v>4</v>
      </c>
      <c r="R8" s="72"/>
      <c r="S8" s="125"/>
      <c r="T8" s="72">
        <v>2</v>
      </c>
      <c r="U8" s="72"/>
      <c r="V8" s="125"/>
      <c r="W8" s="72">
        <v>2</v>
      </c>
      <c r="X8" s="72"/>
      <c r="Y8" s="125"/>
      <c r="Z8" s="72"/>
      <c r="AA8" s="72"/>
      <c r="AB8" s="125"/>
      <c r="AC8" s="72">
        <v>2</v>
      </c>
      <c r="AD8" s="72"/>
      <c r="AE8" s="125"/>
      <c r="AF8" s="72"/>
      <c r="AG8" s="72"/>
      <c r="AH8" s="125"/>
      <c r="AI8" s="72"/>
      <c r="AJ8" s="72"/>
      <c r="AK8" s="125"/>
      <c r="AL8" s="72"/>
      <c r="AM8" s="72"/>
      <c r="AN8" s="125"/>
      <c r="AO8" s="72"/>
      <c r="AP8" s="72"/>
      <c r="AQ8" s="125"/>
      <c r="AR8" s="70" t="s">
        <v>330</v>
      </c>
      <c r="AS8" s="81" t="s">
        <v>331</v>
      </c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</row>
    <row r="9" spans="1:58" ht="13.9" customHeight="1" x14ac:dyDescent="0.35">
      <c r="A9" s="137"/>
      <c r="B9" s="126" t="s">
        <v>324</v>
      </c>
      <c r="C9" s="80" t="s">
        <v>528</v>
      </c>
      <c r="D9" s="80" t="s">
        <v>529</v>
      </c>
      <c r="E9" s="80">
        <v>35</v>
      </c>
      <c r="F9" s="80"/>
      <c r="G9" s="130"/>
      <c r="H9" s="80">
        <v>35.4</v>
      </c>
      <c r="I9" s="80"/>
      <c r="J9" s="130"/>
      <c r="K9" s="80">
        <v>35.4</v>
      </c>
      <c r="L9" s="80"/>
      <c r="M9" s="80"/>
      <c r="N9" s="72">
        <v>24.1</v>
      </c>
      <c r="O9" s="72"/>
      <c r="P9" s="122"/>
      <c r="Q9" s="72">
        <v>24</v>
      </c>
      <c r="R9" s="72"/>
      <c r="S9" s="122"/>
      <c r="T9" s="72">
        <v>25</v>
      </c>
      <c r="U9" s="72"/>
      <c r="V9" s="122"/>
      <c r="W9" s="72"/>
      <c r="X9" s="72"/>
      <c r="Y9" s="122"/>
      <c r="Z9" s="72">
        <v>37</v>
      </c>
      <c r="AA9" s="72"/>
      <c r="AB9" s="122"/>
      <c r="AC9" s="72">
        <v>35</v>
      </c>
      <c r="AD9" s="72"/>
      <c r="AE9" s="122"/>
      <c r="AF9" s="72"/>
      <c r="AG9" s="72"/>
      <c r="AH9" s="122"/>
      <c r="AI9" s="72"/>
      <c r="AJ9" s="72"/>
      <c r="AK9" s="122"/>
      <c r="AL9" s="72"/>
      <c r="AM9" s="72"/>
      <c r="AN9" s="122"/>
      <c r="AO9" s="72"/>
      <c r="AP9" s="72"/>
      <c r="AQ9" s="122"/>
      <c r="AR9" s="70" t="s">
        <v>333</v>
      </c>
      <c r="AS9" s="81" t="s">
        <v>334</v>
      </c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</row>
    <row r="10" spans="1:58" ht="13.9" customHeight="1" x14ac:dyDescent="0.35">
      <c r="A10" s="137"/>
      <c r="B10" s="126"/>
      <c r="C10" s="80" t="s">
        <v>556</v>
      </c>
      <c r="D10" s="80" t="s">
        <v>529</v>
      </c>
      <c r="E10" s="80"/>
      <c r="F10" s="80"/>
      <c r="G10" s="133"/>
      <c r="H10" s="80"/>
      <c r="I10" s="80"/>
      <c r="J10" s="133"/>
      <c r="K10" s="80"/>
      <c r="L10" s="80"/>
      <c r="M10" s="80"/>
      <c r="N10" s="72">
        <v>16</v>
      </c>
      <c r="O10" s="72"/>
      <c r="P10" s="118"/>
      <c r="Q10" s="72"/>
      <c r="R10" s="72"/>
      <c r="S10" s="118"/>
      <c r="T10" s="72"/>
      <c r="U10" s="72"/>
      <c r="V10" s="118"/>
      <c r="W10" s="72"/>
      <c r="X10" s="72"/>
      <c r="Y10" s="118"/>
      <c r="Z10" s="72"/>
      <c r="AA10" s="72"/>
      <c r="AB10" s="118"/>
      <c r="AC10" s="72"/>
      <c r="AD10" s="72"/>
      <c r="AE10" s="118"/>
      <c r="AF10" s="72"/>
      <c r="AG10" s="72"/>
      <c r="AH10" s="118"/>
      <c r="AI10" s="72"/>
      <c r="AJ10" s="72"/>
      <c r="AK10" s="118"/>
      <c r="AL10" s="72"/>
      <c r="AM10" s="72"/>
      <c r="AN10" s="118"/>
      <c r="AO10" s="72"/>
      <c r="AP10" s="72"/>
      <c r="AQ10" s="118"/>
      <c r="AR10" s="70"/>
      <c r="AS10" s="81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</row>
    <row r="11" spans="1:58" ht="13.9" customHeight="1" x14ac:dyDescent="0.35">
      <c r="A11" s="137"/>
      <c r="B11" s="126"/>
      <c r="C11" s="80" t="s">
        <v>335</v>
      </c>
      <c r="D11" s="80" t="s">
        <v>1</v>
      </c>
      <c r="E11" s="80">
        <v>4000</v>
      </c>
      <c r="F11" s="80"/>
      <c r="G11" s="133"/>
      <c r="H11" s="80">
        <v>3949</v>
      </c>
      <c r="I11" s="80"/>
      <c r="J11" s="133"/>
      <c r="K11" s="80">
        <v>3949</v>
      </c>
      <c r="L11" s="80"/>
      <c r="M11" s="80"/>
      <c r="N11" s="72">
        <v>4214</v>
      </c>
      <c r="O11" s="72"/>
      <c r="P11" s="118"/>
      <c r="Q11" s="72">
        <v>4370</v>
      </c>
      <c r="R11" s="72"/>
      <c r="S11" s="118"/>
      <c r="T11" s="72">
        <v>4000</v>
      </c>
      <c r="U11" s="72"/>
      <c r="V11" s="118"/>
      <c r="W11" s="72">
        <v>4300</v>
      </c>
      <c r="X11" s="72"/>
      <c r="Y11" s="118"/>
      <c r="Z11" s="72"/>
      <c r="AA11" s="72"/>
      <c r="AB11" s="118"/>
      <c r="AC11" s="72">
        <v>4265</v>
      </c>
      <c r="AD11" s="72"/>
      <c r="AE11" s="118"/>
      <c r="AF11" s="72"/>
      <c r="AG11" s="72"/>
      <c r="AH11" s="118"/>
      <c r="AI11" s="72"/>
      <c r="AJ11" s="72"/>
      <c r="AK11" s="118"/>
      <c r="AL11" s="72"/>
      <c r="AM11" s="72"/>
      <c r="AN11" s="118"/>
      <c r="AO11" s="72"/>
      <c r="AP11" s="72"/>
      <c r="AQ11" s="118"/>
      <c r="AR11" s="70" t="s">
        <v>336</v>
      </c>
      <c r="AS11" s="81" t="s">
        <v>337</v>
      </c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</row>
    <row r="12" spans="1:58" ht="13.9" customHeight="1" x14ac:dyDescent="0.35">
      <c r="A12" s="137"/>
      <c r="B12" s="126"/>
      <c r="C12" s="80" t="s">
        <v>537</v>
      </c>
      <c r="D12" s="80"/>
      <c r="E12" s="80" t="s">
        <v>631</v>
      </c>
      <c r="F12" s="80"/>
      <c r="G12" s="133"/>
      <c r="H12" s="80" t="s">
        <v>643</v>
      </c>
      <c r="I12" s="80"/>
      <c r="J12" s="133"/>
      <c r="K12" s="80" t="s">
        <v>643</v>
      </c>
      <c r="L12" s="80"/>
      <c r="M12" s="80"/>
      <c r="N12" s="72" t="s">
        <v>643</v>
      </c>
      <c r="O12" s="72"/>
      <c r="P12" s="118"/>
      <c r="Q12" s="72" t="s">
        <v>643</v>
      </c>
      <c r="R12" s="72"/>
      <c r="S12" s="118"/>
      <c r="T12" s="72" t="s">
        <v>631</v>
      </c>
      <c r="U12" s="72"/>
      <c r="V12" s="118"/>
      <c r="W12" s="72" t="s">
        <v>660</v>
      </c>
      <c r="X12" s="72"/>
      <c r="Y12" s="118"/>
      <c r="Z12" s="72"/>
      <c r="AA12" s="72"/>
      <c r="AB12" s="118"/>
      <c r="AC12" s="72" t="s">
        <v>643</v>
      </c>
      <c r="AD12" s="72"/>
      <c r="AE12" s="118"/>
      <c r="AF12" s="72"/>
      <c r="AG12" s="72"/>
      <c r="AH12" s="118"/>
      <c r="AI12" s="72"/>
      <c r="AJ12" s="72"/>
      <c r="AK12" s="118"/>
      <c r="AL12" s="72"/>
      <c r="AM12" s="72"/>
      <c r="AN12" s="118"/>
      <c r="AO12" s="72"/>
      <c r="AP12" s="72"/>
      <c r="AQ12" s="118"/>
      <c r="AR12" s="70"/>
      <c r="AS12" s="81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</row>
    <row r="13" spans="1:58" ht="13.9" customHeight="1" x14ac:dyDescent="0.35">
      <c r="A13" s="137"/>
      <c r="B13" s="126"/>
      <c r="C13" s="80" t="s">
        <v>530</v>
      </c>
      <c r="D13" s="80"/>
      <c r="E13" s="80">
        <v>4</v>
      </c>
      <c r="F13" s="80"/>
      <c r="G13" s="133"/>
      <c r="H13" s="80">
        <v>4</v>
      </c>
      <c r="I13" s="80"/>
      <c r="J13" s="133"/>
      <c r="K13" s="80">
        <v>4</v>
      </c>
      <c r="L13" s="80"/>
      <c r="M13" s="80"/>
      <c r="N13" s="72"/>
      <c r="O13" s="72"/>
      <c r="P13" s="118"/>
      <c r="Q13" s="72"/>
      <c r="R13" s="72"/>
      <c r="S13" s="118"/>
      <c r="T13" s="72"/>
      <c r="U13" s="72"/>
      <c r="V13" s="118"/>
      <c r="W13" s="72">
        <v>4</v>
      </c>
      <c r="X13" s="72"/>
      <c r="Y13" s="118"/>
      <c r="Z13" s="72"/>
      <c r="AA13" s="72"/>
      <c r="AB13" s="118"/>
      <c r="AC13" s="72">
        <v>4</v>
      </c>
      <c r="AD13" s="72"/>
      <c r="AE13" s="118"/>
      <c r="AF13" s="72"/>
      <c r="AG13" s="72"/>
      <c r="AH13" s="118"/>
      <c r="AI13" s="72"/>
      <c r="AJ13" s="72"/>
      <c r="AK13" s="118"/>
      <c r="AL13" s="72"/>
      <c r="AM13" s="72"/>
      <c r="AN13" s="118"/>
      <c r="AO13" s="72"/>
      <c r="AP13" s="72"/>
      <c r="AQ13" s="118"/>
      <c r="AR13" s="70" t="s">
        <v>339</v>
      </c>
      <c r="AS13" s="81" t="s">
        <v>340</v>
      </c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</row>
    <row r="14" spans="1:58" ht="13.9" customHeight="1" x14ac:dyDescent="0.35">
      <c r="A14" s="137"/>
      <c r="B14" s="126"/>
      <c r="C14" s="80" t="s">
        <v>607</v>
      </c>
      <c r="D14" s="80" t="s">
        <v>142</v>
      </c>
      <c r="E14" s="80">
        <v>6.8</v>
      </c>
      <c r="F14" s="80"/>
      <c r="G14" s="133"/>
      <c r="H14" s="80"/>
      <c r="I14" s="80"/>
      <c r="J14" s="133"/>
      <c r="K14" s="80"/>
      <c r="L14" s="80"/>
      <c r="M14" s="80"/>
      <c r="N14" s="72">
        <v>12.9</v>
      </c>
      <c r="O14" s="72"/>
      <c r="P14" s="118"/>
      <c r="Q14" s="72">
        <v>7.7</v>
      </c>
      <c r="R14" s="72"/>
      <c r="S14" s="118"/>
      <c r="T14" s="72">
        <v>7.19</v>
      </c>
      <c r="U14" s="72"/>
      <c r="V14" s="118"/>
      <c r="W14" s="72">
        <v>8.17</v>
      </c>
      <c r="X14" s="72"/>
      <c r="Y14" s="118"/>
      <c r="Z14" s="72"/>
      <c r="AA14" s="72"/>
      <c r="AB14" s="118"/>
      <c r="AC14" s="72">
        <v>8.1999999999999993</v>
      </c>
      <c r="AD14" s="72"/>
      <c r="AE14" s="118"/>
      <c r="AF14" s="72"/>
      <c r="AG14" s="72"/>
      <c r="AH14" s="118"/>
      <c r="AI14" s="72"/>
      <c r="AJ14" s="72"/>
      <c r="AK14" s="118"/>
      <c r="AL14" s="72"/>
      <c r="AM14" s="72"/>
      <c r="AN14" s="118"/>
      <c r="AO14" s="72"/>
      <c r="AP14" s="72"/>
      <c r="AQ14" s="118"/>
      <c r="AR14" s="70"/>
      <c r="AS14" s="81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</row>
    <row r="15" spans="1:58" ht="13.9" customHeight="1" x14ac:dyDescent="0.35">
      <c r="A15" s="137"/>
      <c r="B15" s="126"/>
      <c r="C15" s="80" t="s">
        <v>608</v>
      </c>
      <c r="D15" s="80" t="s">
        <v>575</v>
      </c>
      <c r="E15" s="80">
        <v>65</v>
      </c>
      <c r="F15" s="80"/>
      <c r="G15" s="133"/>
      <c r="H15" s="80">
        <v>57</v>
      </c>
      <c r="I15" s="80"/>
      <c r="J15" s="133"/>
      <c r="K15" s="80">
        <v>57</v>
      </c>
      <c r="L15" s="80"/>
      <c r="M15" s="80"/>
      <c r="N15" s="72">
        <v>115</v>
      </c>
      <c r="O15" s="72"/>
      <c r="P15" s="118"/>
      <c r="Q15" s="72">
        <v>31</v>
      </c>
      <c r="R15" s="72"/>
      <c r="S15" s="118"/>
      <c r="T15" s="72">
        <v>60</v>
      </c>
      <c r="U15" s="72"/>
      <c r="V15" s="118"/>
      <c r="W15" s="72" t="s">
        <v>663</v>
      </c>
      <c r="X15" s="72"/>
      <c r="Y15" s="118"/>
      <c r="Z15" s="72">
        <v>75</v>
      </c>
      <c r="AA15" s="72"/>
      <c r="AB15" s="118"/>
      <c r="AC15" s="72">
        <v>75</v>
      </c>
      <c r="AD15" s="72"/>
      <c r="AE15" s="118"/>
      <c r="AF15" s="72"/>
      <c r="AG15" s="72"/>
      <c r="AH15" s="118"/>
      <c r="AI15" s="72"/>
      <c r="AJ15" s="72"/>
      <c r="AK15" s="118"/>
      <c r="AL15" s="72"/>
      <c r="AM15" s="72"/>
      <c r="AN15" s="118"/>
      <c r="AO15" s="72"/>
      <c r="AP15" s="72"/>
      <c r="AQ15" s="118"/>
      <c r="AR15" s="70"/>
      <c r="AS15" s="81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</row>
    <row r="16" spans="1:58" ht="13.9" customHeight="1" x14ac:dyDescent="0.35">
      <c r="A16" s="137"/>
      <c r="B16" s="126"/>
      <c r="C16" s="80" t="s">
        <v>531</v>
      </c>
      <c r="D16" s="80" t="s">
        <v>563</v>
      </c>
      <c r="E16" s="80">
        <v>20</v>
      </c>
      <c r="F16" s="80"/>
      <c r="G16" s="133"/>
      <c r="H16" s="80">
        <v>15.8</v>
      </c>
      <c r="I16" s="80"/>
      <c r="J16" s="133"/>
      <c r="K16" s="80">
        <v>15.8</v>
      </c>
      <c r="L16" s="80"/>
      <c r="M16" s="80"/>
      <c r="N16" s="72">
        <v>20</v>
      </c>
      <c r="O16" s="72"/>
      <c r="P16" s="118"/>
      <c r="Q16" s="72">
        <v>27</v>
      </c>
      <c r="R16" s="72"/>
      <c r="S16" s="118"/>
      <c r="T16" s="72">
        <v>14</v>
      </c>
      <c r="U16" s="72"/>
      <c r="V16" s="118"/>
      <c r="W16" s="72"/>
      <c r="X16" s="72"/>
      <c r="Y16" s="118"/>
      <c r="Z16" s="72"/>
      <c r="AA16" s="72"/>
      <c r="AB16" s="118"/>
      <c r="AC16" s="72">
        <v>20</v>
      </c>
      <c r="AD16" s="72"/>
      <c r="AE16" s="118"/>
      <c r="AF16" s="72"/>
      <c r="AG16" s="72"/>
      <c r="AH16" s="118"/>
      <c r="AI16" s="72"/>
      <c r="AJ16" s="72"/>
      <c r="AK16" s="118"/>
      <c r="AL16" s="72"/>
      <c r="AM16" s="72"/>
      <c r="AN16" s="118"/>
      <c r="AO16" s="72"/>
      <c r="AP16" s="72"/>
      <c r="AQ16" s="118"/>
      <c r="AR16" s="70"/>
      <c r="AS16" s="81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</row>
    <row r="17" spans="1:58" ht="13.9" customHeight="1" x14ac:dyDescent="0.35">
      <c r="A17" s="137"/>
      <c r="B17" s="126"/>
      <c r="C17" s="80" t="s">
        <v>532</v>
      </c>
      <c r="D17" s="80" t="s">
        <v>563</v>
      </c>
      <c r="E17" s="80">
        <v>20</v>
      </c>
      <c r="F17" s="80"/>
      <c r="G17" s="131"/>
      <c r="H17" s="80">
        <v>13.7</v>
      </c>
      <c r="I17" s="80"/>
      <c r="J17" s="131"/>
      <c r="K17" s="80">
        <v>13.7</v>
      </c>
      <c r="L17" s="80"/>
      <c r="M17" s="80"/>
      <c r="N17" s="72">
        <v>17</v>
      </c>
      <c r="O17" s="72"/>
      <c r="P17" s="125"/>
      <c r="Q17" s="72">
        <v>25</v>
      </c>
      <c r="R17" s="72"/>
      <c r="S17" s="125"/>
      <c r="T17" s="72">
        <v>13</v>
      </c>
      <c r="U17" s="72"/>
      <c r="V17" s="125"/>
      <c r="W17" s="72"/>
      <c r="X17" s="72"/>
      <c r="Y17" s="125"/>
      <c r="Z17" s="72"/>
      <c r="AA17" s="72"/>
      <c r="AB17" s="125"/>
      <c r="AC17" s="72">
        <v>19</v>
      </c>
      <c r="AD17" s="72"/>
      <c r="AE17" s="125"/>
      <c r="AF17" s="72"/>
      <c r="AG17" s="72"/>
      <c r="AH17" s="125"/>
      <c r="AI17" s="72"/>
      <c r="AJ17" s="72"/>
      <c r="AK17" s="125"/>
      <c r="AL17" s="72"/>
      <c r="AM17" s="72"/>
      <c r="AN17" s="125"/>
      <c r="AO17" s="72"/>
      <c r="AP17" s="72"/>
      <c r="AQ17" s="125"/>
      <c r="AR17" s="70" t="s">
        <v>342</v>
      </c>
      <c r="AS17" s="81" t="s">
        <v>343</v>
      </c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</row>
    <row r="18" spans="1:58" ht="13.9" customHeight="1" x14ac:dyDescent="0.35">
      <c r="A18" s="137"/>
      <c r="B18" s="130" t="s">
        <v>582</v>
      </c>
      <c r="C18" s="80" t="s">
        <v>522</v>
      </c>
      <c r="D18" s="80" t="s">
        <v>142</v>
      </c>
      <c r="E18" s="80">
        <v>12.4</v>
      </c>
      <c r="F18" s="80"/>
      <c r="G18" s="130"/>
      <c r="H18" s="80">
        <v>12</v>
      </c>
      <c r="I18" s="80"/>
      <c r="J18" s="130"/>
      <c r="K18" s="80">
        <v>12.8</v>
      </c>
      <c r="L18" s="80"/>
      <c r="M18" s="80"/>
      <c r="N18" s="72">
        <v>12</v>
      </c>
      <c r="O18" s="72"/>
      <c r="P18" s="122"/>
      <c r="Q18" s="72">
        <v>12.3</v>
      </c>
      <c r="R18" s="72"/>
      <c r="S18" s="122"/>
      <c r="T18" s="72">
        <v>12</v>
      </c>
      <c r="U18" s="72"/>
      <c r="V18" s="122"/>
      <c r="W18" s="72"/>
      <c r="X18" s="72"/>
      <c r="Y18" s="122"/>
      <c r="Z18" s="72"/>
      <c r="AA18" s="72"/>
      <c r="AB18" s="122"/>
      <c r="AC18" s="72">
        <v>12.2</v>
      </c>
      <c r="AD18" s="72"/>
      <c r="AE18" s="122"/>
      <c r="AF18" s="72"/>
      <c r="AG18" s="72"/>
      <c r="AH18" s="122"/>
      <c r="AI18" s="72"/>
      <c r="AJ18" s="72"/>
      <c r="AK18" s="122"/>
      <c r="AL18" s="72"/>
      <c r="AM18" s="72"/>
      <c r="AN18" s="122"/>
      <c r="AO18" s="72"/>
      <c r="AP18" s="72"/>
      <c r="AQ18" s="122"/>
      <c r="AR18" s="70" t="s">
        <v>345</v>
      </c>
      <c r="AS18" s="81" t="s">
        <v>346</v>
      </c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</row>
    <row r="19" spans="1:58" ht="13.9" customHeight="1" x14ac:dyDescent="0.35">
      <c r="A19" s="137"/>
      <c r="B19" s="133"/>
      <c r="C19" s="80" t="s">
        <v>523</v>
      </c>
      <c r="D19" s="80" t="s">
        <v>142</v>
      </c>
      <c r="E19" s="80">
        <v>48</v>
      </c>
      <c r="F19" s="80"/>
      <c r="G19" s="133"/>
      <c r="H19" s="80">
        <v>47</v>
      </c>
      <c r="I19" s="80"/>
      <c r="J19" s="133"/>
      <c r="K19" s="80">
        <v>51</v>
      </c>
      <c r="L19" s="80"/>
      <c r="M19" s="80"/>
      <c r="N19" s="72">
        <v>47</v>
      </c>
      <c r="O19" s="72"/>
      <c r="P19" s="118"/>
      <c r="Q19" s="72">
        <v>47.2</v>
      </c>
      <c r="R19" s="72"/>
      <c r="S19" s="118"/>
      <c r="T19" s="72">
        <v>47</v>
      </c>
      <c r="U19" s="72"/>
      <c r="V19" s="118"/>
      <c r="W19" s="72">
        <v>47</v>
      </c>
      <c r="X19" s="72"/>
      <c r="Y19" s="118"/>
      <c r="Z19" s="72">
        <v>48</v>
      </c>
      <c r="AA19" s="72"/>
      <c r="AB19" s="118"/>
      <c r="AC19" s="72">
        <v>47</v>
      </c>
      <c r="AD19" s="72"/>
      <c r="AE19" s="118"/>
      <c r="AF19" s="72"/>
      <c r="AG19" s="84"/>
      <c r="AH19" s="118"/>
      <c r="AI19" s="84"/>
      <c r="AJ19" s="72"/>
      <c r="AK19" s="118"/>
      <c r="AL19" s="72"/>
      <c r="AM19" s="72"/>
      <c r="AN19" s="118"/>
      <c r="AO19" s="72"/>
      <c r="AP19" s="72"/>
      <c r="AQ19" s="118"/>
      <c r="AR19" s="70"/>
      <c r="AS19" s="79" t="s">
        <v>348</v>
      </c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</row>
    <row r="20" spans="1:58" ht="13.9" customHeight="1" x14ac:dyDescent="0.35">
      <c r="A20" s="137"/>
      <c r="B20" s="133"/>
      <c r="C20" s="80" t="s">
        <v>524</v>
      </c>
      <c r="D20" s="80" t="s">
        <v>142</v>
      </c>
      <c r="E20" s="80">
        <v>17.5</v>
      </c>
      <c r="F20" s="80"/>
      <c r="G20" s="133"/>
      <c r="H20" s="80">
        <v>17.71</v>
      </c>
      <c r="I20" s="80"/>
      <c r="J20" s="133"/>
      <c r="K20" s="80">
        <v>17.7</v>
      </c>
      <c r="L20" s="80"/>
      <c r="M20" s="80"/>
      <c r="N20" s="72">
        <v>17.100000000000001</v>
      </c>
      <c r="O20" s="72"/>
      <c r="P20" s="118"/>
      <c r="Q20" s="72">
        <v>17.7</v>
      </c>
      <c r="R20" s="72"/>
      <c r="S20" s="118"/>
      <c r="T20" s="72">
        <v>19</v>
      </c>
      <c r="U20" s="72"/>
      <c r="V20" s="118"/>
      <c r="W20" s="72">
        <v>17</v>
      </c>
      <c r="X20" s="72"/>
      <c r="Y20" s="118"/>
      <c r="Z20" s="72">
        <v>16</v>
      </c>
      <c r="AA20" s="72"/>
      <c r="AB20" s="118"/>
      <c r="AC20" s="72">
        <v>18</v>
      </c>
      <c r="AD20" s="72"/>
      <c r="AE20" s="118"/>
      <c r="AF20" s="72"/>
      <c r="AG20" s="72"/>
      <c r="AH20" s="118"/>
      <c r="AI20" s="72"/>
      <c r="AJ20" s="72"/>
      <c r="AK20" s="118"/>
      <c r="AL20" s="72"/>
      <c r="AM20" s="72"/>
      <c r="AN20" s="118"/>
      <c r="AO20" s="72"/>
      <c r="AP20" s="72"/>
      <c r="AQ20" s="118"/>
      <c r="AR20" s="70" t="s">
        <v>350</v>
      </c>
      <c r="AS20" s="81" t="s">
        <v>351</v>
      </c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</row>
    <row r="21" spans="1:58" ht="13.9" customHeight="1" x14ac:dyDescent="0.35">
      <c r="A21" s="137"/>
      <c r="B21" s="133"/>
      <c r="C21" s="80" t="s">
        <v>525</v>
      </c>
      <c r="D21" s="80" t="s">
        <v>142</v>
      </c>
      <c r="E21" s="80" t="s">
        <v>123</v>
      </c>
      <c r="F21" s="80"/>
      <c r="G21" s="133"/>
      <c r="H21" s="106" t="s">
        <v>123</v>
      </c>
      <c r="I21" s="80"/>
      <c r="J21" s="133"/>
      <c r="K21" s="106" t="s">
        <v>123</v>
      </c>
      <c r="L21" s="80"/>
      <c r="M21" s="80"/>
      <c r="N21" s="114">
        <v>6.1</v>
      </c>
      <c r="O21" s="72"/>
      <c r="P21" s="118"/>
      <c r="Q21" s="115">
        <v>4.9000000000000004</v>
      </c>
      <c r="R21" s="72"/>
      <c r="S21" s="118"/>
      <c r="T21" s="72"/>
      <c r="U21" s="72"/>
      <c r="V21" s="118"/>
      <c r="W21" s="114" t="s">
        <v>123</v>
      </c>
      <c r="X21" s="72"/>
      <c r="Y21" s="118"/>
      <c r="Z21" s="72"/>
      <c r="AA21" s="72"/>
      <c r="AB21" s="118"/>
      <c r="AC21" s="114" t="s">
        <v>123</v>
      </c>
      <c r="AD21" s="72"/>
      <c r="AE21" s="118"/>
      <c r="AF21" s="72"/>
      <c r="AG21" s="72"/>
      <c r="AH21" s="118"/>
      <c r="AI21" s="72"/>
      <c r="AJ21" s="72"/>
      <c r="AK21" s="118"/>
      <c r="AL21" s="72"/>
      <c r="AM21" s="72"/>
      <c r="AN21" s="118"/>
      <c r="AO21" s="72"/>
      <c r="AP21" s="72"/>
      <c r="AQ21" s="118"/>
      <c r="AR21" s="70" t="s">
        <v>333</v>
      </c>
      <c r="AS21" s="81" t="s">
        <v>353</v>
      </c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</row>
    <row r="22" spans="1:58" ht="13.9" customHeight="1" x14ac:dyDescent="0.35">
      <c r="A22" s="137"/>
      <c r="B22" s="133"/>
      <c r="C22" s="80" t="s">
        <v>552</v>
      </c>
      <c r="D22" s="80" t="s">
        <v>563</v>
      </c>
      <c r="E22" s="80" t="s">
        <v>632</v>
      </c>
      <c r="F22" s="80"/>
      <c r="G22" s="133"/>
      <c r="H22" s="105" t="s">
        <v>645</v>
      </c>
      <c r="I22" s="80"/>
      <c r="J22" s="133"/>
      <c r="K22" s="105" t="s">
        <v>645</v>
      </c>
      <c r="L22" s="80"/>
      <c r="M22" s="80"/>
      <c r="N22" s="72" t="s">
        <v>648</v>
      </c>
      <c r="O22" s="72"/>
      <c r="P22" s="118"/>
      <c r="Q22" s="72" t="s">
        <v>653</v>
      </c>
      <c r="R22" s="72"/>
      <c r="S22" s="118"/>
      <c r="T22" s="72" t="s">
        <v>648</v>
      </c>
      <c r="U22" s="72"/>
      <c r="V22" s="118"/>
      <c r="W22" s="72" t="s">
        <v>662</v>
      </c>
      <c r="X22" s="72"/>
      <c r="Y22" s="118"/>
      <c r="Z22" s="72"/>
      <c r="AA22" s="72"/>
      <c r="AB22" s="118"/>
      <c r="AC22" s="72" t="s">
        <v>648</v>
      </c>
      <c r="AD22" s="72"/>
      <c r="AE22" s="118"/>
      <c r="AF22" s="72"/>
      <c r="AG22" s="72"/>
      <c r="AH22" s="118"/>
      <c r="AI22" s="72"/>
      <c r="AJ22" s="72"/>
      <c r="AK22" s="118"/>
      <c r="AL22" s="72"/>
      <c r="AM22" s="72"/>
      <c r="AN22" s="118"/>
      <c r="AO22" s="72"/>
      <c r="AP22" s="72"/>
      <c r="AQ22" s="118"/>
      <c r="AR22" s="70"/>
      <c r="AS22" s="81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</row>
    <row r="23" spans="1:58" ht="13.9" customHeight="1" x14ac:dyDescent="0.35">
      <c r="A23" s="137"/>
      <c r="B23" s="131"/>
      <c r="C23" s="80" t="s">
        <v>553</v>
      </c>
      <c r="D23" s="80" t="s">
        <v>544</v>
      </c>
      <c r="E23" s="80" t="s">
        <v>596</v>
      </c>
      <c r="F23" s="80"/>
      <c r="G23" s="133"/>
      <c r="H23" s="80" t="s">
        <v>596</v>
      </c>
      <c r="I23" s="80"/>
      <c r="J23" s="133"/>
      <c r="K23" s="80" t="s">
        <v>596</v>
      </c>
      <c r="L23" s="80"/>
      <c r="M23" s="80"/>
      <c r="N23" s="72" t="s">
        <v>583</v>
      </c>
      <c r="O23" s="72"/>
      <c r="P23" s="118"/>
      <c r="Q23" s="72" t="s">
        <v>596</v>
      </c>
      <c r="R23" s="72"/>
      <c r="S23" s="118"/>
      <c r="T23" s="72" t="s">
        <v>596</v>
      </c>
      <c r="U23" s="72"/>
      <c r="V23" s="118"/>
      <c r="W23" s="72" t="s">
        <v>596</v>
      </c>
      <c r="X23" s="72"/>
      <c r="Y23" s="118"/>
      <c r="Z23" s="72"/>
      <c r="AA23" s="72"/>
      <c r="AB23" s="118"/>
      <c r="AC23" s="72" t="s">
        <v>596</v>
      </c>
      <c r="AD23" s="72"/>
      <c r="AE23" s="118"/>
      <c r="AF23" s="72"/>
      <c r="AG23" s="72"/>
      <c r="AH23" s="118"/>
      <c r="AI23" s="72"/>
      <c r="AJ23" s="72"/>
      <c r="AK23" s="118"/>
      <c r="AL23" s="72"/>
      <c r="AM23" s="72"/>
      <c r="AN23" s="118"/>
      <c r="AO23" s="72"/>
      <c r="AP23" s="72"/>
      <c r="AQ23" s="118"/>
      <c r="AR23" s="70"/>
      <c r="AS23" s="81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</row>
    <row r="24" spans="1:58" ht="13.9" customHeight="1" x14ac:dyDescent="0.35">
      <c r="A24" s="137"/>
      <c r="B24" s="104"/>
      <c r="C24" s="80" t="s">
        <v>526</v>
      </c>
      <c r="D24" s="80" t="s">
        <v>1</v>
      </c>
      <c r="E24" s="80">
        <v>4544</v>
      </c>
      <c r="F24" s="80"/>
      <c r="G24" s="133"/>
      <c r="H24" s="80">
        <v>4800</v>
      </c>
      <c r="I24" s="80"/>
      <c r="J24" s="133"/>
      <c r="K24" s="80">
        <v>4800</v>
      </c>
      <c r="L24" s="80"/>
      <c r="M24" s="80"/>
      <c r="N24" s="72">
        <v>4568</v>
      </c>
      <c r="O24" s="72"/>
      <c r="P24" s="118"/>
      <c r="Q24" s="72">
        <v>4320</v>
      </c>
      <c r="R24" s="72"/>
      <c r="S24" s="118"/>
      <c r="T24" s="72">
        <v>4140</v>
      </c>
      <c r="U24" s="72"/>
      <c r="V24" s="118"/>
      <c r="W24" s="72">
        <v>4316</v>
      </c>
      <c r="X24" s="72"/>
      <c r="Y24" s="118"/>
      <c r="Z24" s="72"/>
      <c r="AA24" s="72"/>
      <c r="AB24" s="118"/>
      <c r="AC24" s="72">
        <v>4500</v>
      </c>
      <c r="AD24" s="72"/>
      <c r="AE24" s="118"/>
      <c r="AF24" s="72"/>
      <c r="AG24" s="72"/>
      <c r="AH24" s="118"/>
      <c r="AI24" s="72"/>
      <c r="AJ24" s="72"/>
      <c r="AK24" s="118"/>
      <c r="AL24" s="72"/>
      <c r="AM24" s="72"/>
      <c r="AN24" s="118"/>
      <c r="AO24" s="72"/>
      <c r="AP24" s="72"/>
      <c r="AQ24" s="118"/>
      <c r="AR24" s="70" t="s">
        <v>355</v>
      </c>
      <c r="AS24" s="81" t="s">
        <v>356</v>
      </c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</row>
    <row r="25" spans="1:58" ht="13.9" customHeight="1" x14ac:dyDescent="0.35">
      <c r="A25" s="137"/>
      <c r="B25" s="104"/>
      <c r="C25" s="80" t="s">
        <v>598</v>
      </c>
      <c r="D25" s="80" t="s">
        <v>563</v>
      </c>
      <c r="E25" s="80" t="s">
        <v>633</v>
      </c>
      <c r="F25" s="80"/>
      <c r="G25" s="133"/>
      <c r="H25" s="106" t="s">
        <v>611</v>
      </c>
      <c r="I25" s="80"/>
      <c r="J25" s="133"/>
      <c r="K25" s="80" t="s">
        <v>611</v>
      </c>
      <c r="L25" s="80"/>
      <c r="M25" s="80"/>
      <c r="N25" s="72" t="s">
        <v>611</v>
      </c>
      <c r="O25" s="72"/>
      <c r="P25" s="118"/>
      <c r="Q25" s="72" t="s">
        <v>611</v>
      </c>
      <c r="R25" s="72"/>
      <c r="S25" s="118"/>
      <c r="T25" s="72" t="s">
        <v>611</v>
      </c>
      <c r="U25" s="72"/>
      <c r="V25" s="118"/>
      <c r="W25" s="72" t="s">
        <v>633</v>
      </c>
      <c r="X25" s="72"/>
      <c r="Y25" s="118"/>
      <c r="Z25" s="72" t="s">
        <v>611</v>
      </c>
      <c r="AA25" s="72"/>
      <c r="AB25" s="118"/>
      <c r="AC25" s="72" t="s">
        <v>611</v>
      </c>
      <c r="AD25" s="72"/>
      <c r="AE25" s="118"/>
      <c r="AF25" s="72"/>
      <c r="AG25" s="72"/>
      <c r="AH25" s="118"/>
      <c r="AI25" s="72"/>
      <c r="AJ25" s="72"/>
      <c r="AK25" s="118"/>
      <c r="AL25" s="72"/>
      <c r="AM25" s="72"/>
      <c r="AN25" s="118"/>
      <c r="AO25" s="72"/>
      <c r="AP25" s="72"/>
      <c r="AQ25" s="118"/>
      <c r="AR25" s="70"/>
      <c r="AS25" s="81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</row>
    <row r="26" spans="1:58" ht="13.9" customHeight="1" x14ac:dyDescent="0.35">
      <c r="A26" s="137"/>
      <c r="B26" s="130" t="s">
        <v>581</v>
      </c>
      <c r="C26" s="80" t="s">
        <v>533</v>
      </c>
      <c r="D26" s="80" t="s">
        <v>1</v>
      </c>
      <c r="E26" s="80">
        <v>240</v>
      </c>
      <c r="F26" s="80"/>
      <c r="G26" s="133"/>
      <c r="H26" s="80"/>
      <c r="I26" s="80"/>
      <c r="J26" s="133"/>
      <c r="K26" s="80"/>
      <c r="L26" s="80"/>
      <c r="M26" s="80"/>
      <c r="N26" s="72"/>
      <c r="O26" s="72"/>
      <c r="P26" s="118"/>
      <c r="Q26" s="72">
        <v>270</v>
      </c>
      <c r="R26" s="72"/>
      <c r="S26" s="118"/>
      <c r="T26" s="72"/>
      <c r="U26" s="72"/>
      <c r="V26" s="118"/>
      <c r="W26" s="72"/>
      <c r="X26" s="72"/>
      <c r="Y26" s="118"/>
      <c r="Z26" s="72"/>
      <c r="AA26" s="72"/>
      <c r="AB26" s="118"/>
      <c r="AC26" s="72">
        <v>300</v>
      </c>
      <c r="AD26" s="72"/>
      <c r="AE26" s="118"/>
      <c r="AF26" s="72"/>
      <c r="AG26" s="72"/>
      <c r="AH26" s="118"/>
      <c r="AI26" s="72"/>
      <c r="AJ26" s="72"/>
      <c r="AK26" s="118"/>
      <c r="AL26" s="72"/>
      <c r="AM26" s="72"/>
      <c r="AN26" s="118"/>
      <c r="AO26" s="72"/>
      <c r="AP26" s="72"/>
      <c r="AQ26" s="118"/>
      <c r="AR26" s="70"/>
      <c r="AS26" s="81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</row>
    <row r="27" spans="1:58" ht="13.9" customHeight="1" x14ac:dyDescent="0.35">
      <c r="A27" s="137"/>
      <c r="B27" s="133"/>
      <c r="C27" s="80" t="s">
        <v>534</v>
      </c>
      <c r="D27" s="80" t="s">
        <v>142</v>
      </c>
      <c r="E27" s="80">
        <v>7.7</v>
      </c>
      <c r="F27" s="80"/>
      <c r="G27" s="133"/>
      <c r="H27" s="80">
        <v>7.2990000000000004</v>
      </c>
      <c r="I27" s="80"/>
      <c r="J27" s="133"/>
      <c r="K27" s="80">
        <v>7.2990000000000004</v>
      </c>
      <c r="L27" s="80"/>
      <c r="M27" s="80"/>
      <c r="N27" s="72">
        <v>7.2990000000000004</v>
      </c>
      <c r="O27" s="72"/>
      <c r="P27" s="118"/>
      <c r="Q27" s="72">
        <f>7.93-0.3*2</f>
        <v>7.33</v>
      </c>
      <c r="R27" s="72"/>
      <c r="S27" s="118"/>
      <c r="T27" s="72">
        <v>7300</v>
      </c>
      <c r="U27" s="72"/>
      <c r="V27" s="118"/>
      <c r="W27" s="72">
        <v>8000</v>
      </c>
      <c r="X27" s="72"/>
      <c r="Y27" s="118"/>
      <c r="Z27" s="72">
        <v>8000</v>
      </c>
      <c r="AA27" s="72"/>
      <c r="AB27" s="118"/>
      <c r="AC27" s="72">
        <v>7600</v>
      </c>
      <c r="AD27" s="72"/>
      <c r="AE27" s="118"/>
      <c r="AF27" s="72"/>
      <c r="AG27" s="72"/>
      <c r="AH27" s="118"/>
      <c r="AI27" s="72"/>
      <c r="AJ27" s="72"/>
      <c r="AK27" s="118"/>
      <c r="AL27" s="72"/>
      <c r="AM27" s="72"/>
      <c r="AN27" s="118"/>
      <c r="AO27" s="72"/>
      <c r="AP27" s="72"/>
      <c r="AQ27" s="118"/>
      <c r="AR27" s="70"/>
      <c r="AS27" s="81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</row>
    <row r="28" spans="1:58" ht="13.9" customHeight="1" x14ac:dyDescent="0.35">
      <c r="A28" s="137"/>
      <c r="B28" s="133"/>
      <c r="C28" s="80" t="s">
        <v>605</v>
      </c>
      <c r="D28" s="80"/>
      <c r="E28" s="80">
        <v>4</v>
      </c>
      <c r="F28" s="80"/>
      <c r="G28" s="133"/>
      <c r="H28" s="80">
        <v>4</v>
      </c>
      <c r="I28" s="80"/>
      <c r="J28" s="133"/>
      <c r="K28" s="80">
        <v>4</v>
      </c>
      <c r="L28" s="80"/>
      <c r="M28" s="80"/>
      <c r="N28" s="72">
        <v>4</v>
      </c>
      <c r="O28" s="72"/>
      <c r="P28" s="118"/>
      <c r="Q28" s="72">
        <v>3</v>
      </c>
      <c r="R28" s="72"/>
      <c r="S28" s="118"/>
      <c r="T28" s="72">
        <v>3</v>
      </c>
      <c r="U28" s="72"/>
      <c r="V28" s="118"/>
      <c r="W28" s="72"/>
      <c r="X28" s="72"/>
      <c r="Y28" s="118"/>
      <c r="Z28" s="72"/>
      <c r="AA28" s="72"/>
      <c r="AB28" s="118"/>
      <c r="AC28" s="72">
        <v>3</v>
      </c>
      <c r="AD28" s="72"/>
      <c r="AE28" s="118"/>
      <c r="AF28" s="72"/>
      <c r="AG28" s="72"/>
      <c r="AH28" s="118"/>
      <c r="AI28" s="72"/>
      <c r="AJ28" s="72"/>
      <c r="AK28" s="118"/>
      <c r="AL28" s="72"/>
      <c r="AM28" s="72"/>
      <c r="AN28" s="118"/>
      <c r="AO28" s="72"/>
      <c r="AP28" s="72"/>
      <c r="AQ28" s="118"/>
      <c r="AR28" s="70"/>
      <c r="AS28" s="81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</row>
    <row r="29" spans="1:58" s="14" customFormat="1" ht="14.25" customHeight="1" x14ac:dyDescent="0.25">
      <c r="A29" s="137"/>
      <c r="B29" s="131"/>
      <c r="C29" s="80" t="s">
        <v>609</v>
      </c>
      <c r="D29" s="80" t="s">
        <v>544</v>
      </c>
      <c r="E29" s="80" t="s">
        <v>596</v>
      </c>
      <c r="F29" s="80"/>
      <c r="G29" s="131"/>
      <c r="H29" s="80" t="s">
        <v>583</v>
      </c>
      <c r="I29" s="80"/>
      <c r="J29" s="131"/>
      <c r="K29" s="80" t="s">
        <v>583</v>
      </c>
      <c r="L29" s="80"/>
      <c r="M29" s="80"/>
      <c r="N29" s="73" t="s">
        <v>583</v>
      </c>
      <c r="O29" s="73"/>
      <c r="P29" s="125"/>
      <c r="Q29" s="73" t="s">
        <v>583</v>
      </c>
      <c r="R29" s="73"/>
      <c r="S29" s="125"/>
      <c r="T29" s="73" t="s">
        <v>583</v>
      </c>
      <c r="U29" s="73"/>
      <c r="V29" s="125"/>
      <c r="W29" s="72"/>
      <c r="X29" s="72"/>
      <c r="Y29" s="125"/>
      <c r="Z29" s="72"/>
      <c r="AA29" s="72"/>
      <c r="AB29" s="125"/>
      <c r="AC29" s="72"/>
      <c r="AD29" s="72"/>
      <c r="AE29" s="125"/>
      <c r="AF29" s="73"/>
      <c r="AG29" s="73"/>
      <c r="AH29" s="125"/>
      <c r="AI29" s="73"/>
      <c r="AJ29" s="73"/>
      <c r="AK29" s="125"/>
      <c r="AL29" s="73"/>
      <c r="AM29" s="73"/>
      <c r="AN29" s="125"/>
      <c r="AO29" s="72"/>
      <c r="AP29" s="72"/>
      <c r="AQ29" s="125"/>
      <c r="AR29" s="84" t="s">
        <v>358</v>
      </c>
      <c r="AS29" s="85" t="s">
        <v>359</v>
      </c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</row>
    <row r="30" spans="1:58" s="14" customFormat="1" ht="14.25" customHeight="1" x14ac:dyDescent="0.25">
      <c r="A30" s="137"/>
      <c r="B30" s="130" t="s">
        <v>330</v>
      </c>
      <c r="C30" s="80" t="s">
        <v>350</v>
      </c>
      <c r="D30" s="80"/>
      <c r="E30" s="80" t="s">
        <v>576</v>
      </c>
      <c r="F30" s="80"/>
      <c r="G30" s="82"/>
      <c r="H30" s="80" t="s">
        <v>646</v>
      </c>
      <c r="I30" s="80"/>
      <c r="J30" s="82"/>
      <c r="K30" s="80" t="s">
        <v>646</v>
      </c>
      <c r="L30" s="80"/>
      <c r="M30" s="80"/>
      <c r="N30" s="73" t="s">
        <v>576</v>
      </c>
      <c r="O30" s="73"/>
      <c r="P30" s="83"/>
      <c r="Q30" s="73" t="s">
        <v>591</v>
      </c>
      <c r="R30" s="73"/>
      <c r="S30" s="83"/>
      <c r="T30" s="73" t="s">
        <v>655</v>
      </c>
      <c r="U30" s="73"/>
      <c r="V30" s="83"/>
      <c r="W30" s="72" t="s">
        <v>591</v>
      </c>
      <c r="X30" s="72"/>
      <c r="Y30" s="83"/>
      <c r="Z30" s="72"/>
      <c r="AA30" s="72"/>
      <c r="AB30" s="83"/>
      <c r="AC30" s="72" t="s">
        <v>591</v>
      </c>
      <c r="AD30" s="72"/>
      <c r="AE30" s="83"/>
      <c r="AF30" s="73"/>
      <c r="AG30" s="73"/>
      <c r="AH30" s="83"/>
      <c r="AI30" s="73"/>
      <c r="AJ30" s="73"/>
      <c r="AK30" s="83"/>
      <c r="AL30" s="73"/>
      <c r="AM30" s="73"/>
      <c r="AN30" s="83"/>
      <c r="AO30" s="72"/>
      <c r="AP30" s="72"/>
      <c r="AQ30" s="83"/>
      <c r="AR30" s="84"/>
      <c r="AS30" s="85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</row>
    <row r="31" spans="1:58" ht="14.25" customHeight="1" x14ac:dyDescent="0.35">
      <c r="A31" s="137"/>
      <c r="B31" s="133"/>
      <c r="C31" s="80" t="s">
        <v>536</v>
      </c>
      <c r="D31" s="80" t="s">
        <v>3</v>
      </c>
      <c r="E31" s="80">
        <v>209</v>
      </c>
      <c r="F31" s="80"/>
      <c r="G31" s="130"/>
      <c r="H31" s="80">
        <v>209</v>
      </c>
      <c r="I31" s="80"/>
      <c r="J31" s="130"/>
      <c r="K31" s="80">
        <v>209</v>
      </c>
      <c r="L31" s="80"/>
      <c r="M31" s="80"/>
      <c r="N31" s="73">
        <v>224</v>
      </c>
      <c r="O31" s="73"/>
      <c r="P31" s="123"/>
      <c r="Q31" s="108">
        <v>173</v>
      </c>
      <c r="R31" s="72"/>
      <c r="S31" s="122"/>
      <c r="T31" s="116">
        <v>201</v>
      </c>
      <c r="U31" s="72"/>
      <c r="V31" s="122"/>
      <c r="W31" s="72">
        <v>168</v>
      </c>
      <c r="X31" s="72"/>
      <c r="Y31" s="122"/>
      <c r="Z31" s="72">
        <v>194</v>
      </c>
      <c r="AA31" s="72"/>
      <c r="AB31" s="122"/>
      <c r="AC31" s="72">
        <v>209</v>
      </c>
      <c r="AD31" s="72"/>
      <c r="AE31" s="122"/>
      <c r="AF31" s="72"/>
      <c r="AG31" s="72"/>
      <c r="AH31" s="122"/>
      <c r="AI31" s="72"/>
      <c r="AJ31" s="72"/>
      <c r="AK31" s="122"/>
      <c r="AL31" s="72"/>
      <c r="AM31" s="72"/>
      <c r="AN31" s="122"/>
      <c r="AO31" s="72"/>
      <c r="AP31" s="72"/>
      <c r="AQ31" s="122"/>
      <c r="AR31" s="70" t="s">
        <v>361</v>
      </c>
      <c r="AS31" s="81" t="s">
        <v>362</v>
      </c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</row>
    <row r="32" spans="1:58" ht="14.25" customHeight="1" x14ac:dyDescent="0.35">
      <c r="A32" s="137"/>
      <c r="B32" s="133"/>
      <c r="C32" s="80" t="s">
        <v>535</v>
      </c>
      <c r="D32" s="80" t="s">
        <v>542</v>
      </c>
      <c r="E32" s="80">
        <v>1152</v>
      </c>
      <c r="F32" s="80"/>
      <c r="G32" s="133"/>
      <c r="H32" s="80">
        <v>1152</v>
      </c>
      <c r="I32" s="80"/>
      <c r="J32" s="133"/>
      <c r="K32" s="80">
        <v>1152</v>
      </c>
      <c r="L32" s="80"/>
      <c r="M32" s="80"/>
      <c r="N32" s="73">
        <v>1288</v>
      </c>
      <c r="O32" s="73"/>
      <c r="P32" s="121"/>
      <c r="Q32" s="108">
        <v>949</v>
      </c>
      <c r="R32" s="72"/>
      <c r="S32" s="118"/>
      <c r="T32" s="116">
        <v>990</v>
      </c>
      <c r="U32" s="72"/>
      <c r="V32" s="118"/>
      <c r="W32" s="72">
        <v>1186</v>
      </c>
      <c r="X32" s="72"/>
      <c r="Y32" s="118"/>
      <c r="Z32" s="72">
        <v>1152</v>
      </c>
      <c r="AA32" s="72"/>
      <c r="AB32" s="118"/>
      <c r="AC32" s="72">
        <v>1288</v>
      </c>
      <c r="AD32" s="72"/>
      <c r="AE32" s="118"/>
      <c r="AF32" s="72"/>
      <c r="AG32" s="72"/>
      <c r="AH32" s="118"/>
      <c r="AI32" s="72"/>
      <c r="AJ32" s="72"/>
      <c r="AK32" s="118"/>
      <c r="AL32" s="72"/>
      <c r="AM32" s="72"/>
      <c r="AN32" s="118"/>
      <c r="AO32" s="72"/>
      <c r="AP32" s="72"/>
      <c r="AQ32" s="118"/>
      <c r="AR32" s="70"/>
      <c r="AS32" s="81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</row>
    <row r="33" spans="1:58" ht="14.25" customHeight="1" x14ac:dyDescent="0.35">
      <c r="A33" s="137"/>
      <c r="B33" s="133"/>
      <c r="C33" s="80" t="s">
        <v>589</v>
      </c>
      <c r="D33" s="80" t="s">
        <v>590</v>
      </c>
      <c r="E33" s="80">
        <v>305</v>
      </c>
      <c r="F33" s="80"/>
      <c r="G33" s="133"/>
      <c r="H33" s="80">
        <v>300</v>
      </c>
      <c r="I33" s="80"/>
      <c r="J33" s="133"/>
      <c r="K33" s="80">
        <v>300</v>
      </c>
      <c r="L33" s="80"/>
      <c r="M33" s="80"/>
      <c r="N33" s="73">
        <v>271</v>
      </c>
      <c r="O33" s="73"/>
      <c r="P33" s="121"/>
      <c r="Q33" s="108">
        <v>284</v>
      </c>
      <c r="R33" s="72"/>
      <c r="S33" s="118"/>
      <c r="T33" s="116">
        <v>350</v>
      </c>
      <c r="U33" s="72"/>
      <c r="V33" s="118"/>
      <c r="W33" s="72">
        <v>300</v>
      </c>
      <c r="X33" s="72"/>
      <c r="Y33" s="118"/>
      <c r="Z33" s="72"/>
      <c r="AA33" s="72"/>
      <c r="AB33" s="118"/>
      <c r="AC33" s="72"/>
      <c r="AD33" s="72"/>
      <c r="AE33" s="118"/>
      <c r="AF33" s="72"/>
      <c r="AG33" s="72"/>
      <c r="AH33" s="118"/>
      <c r="AI33" s="72"/>
      <c r="AJ33" s="72"/>
      <c r="AK33" s="118"/>
      <c r="AL33" s="72"/>
      <c r="AM33" s="72"/>
      <c r="AN33" s="118"/>
      <c r="AO33" s="72"/>
      <c r="AP33" s="72"/>
      <c r="AQ33" s="118"/>
      <c r="AR33" s="70"/>
      <c r="AS33" s="81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</row>
    <row r="34" spans="1:58" ht="14.25" customHeight="1" x14ac:dyDescent="0.35">
      <c r="A34" s="137"/>
      <c r="B34" s="133"/>
      <c r="C34" s="80" t="s">
        <v>588</v>
      </c>
      <c r="D34" s="80"/>
      <c r="E34" s="80" t="s">
        <v>630</v>
      </c>
      <c r="F34" s="80"/>
      <c r="G34" s="133"/>
      <c r="H34" s="80"/>
      <c r="I34" s="80"/>
      <c r="J34" s="133"/>
      <c r="K34" s="80"/>
      <c r="L34" s="80"/>
      <c r="M34" s="80"/>
      <c r="N34" s="73"/>
      <c r="O34" s="73"/>
      <c r="P34" s="121"/>
      <c r="Q34" s="108"/>
      <c r="R34" s="72"/>
      <c r="S34" s="118"/>
      <c r="T34" s="116"/>
      <c r="U34" s="72"/>
      <c r="V34" s="118"/>
      <c r="W34" s="72"/>
      <c r="X34" s="72"/>
      <c r="Y34" s="118"/>
      <c r="Z34" s="72"/>
      <c r="AA34" s="72"/>
      <c r="AB34" s="118"/>
      <c r="AC34" s="72" t="s">
        <v>666</v>
      </c>
      <c r="AD34" s="72"/>
      <c r="AE34" s="118"/>
      <c r="AF34" s="72"/>
      <c r="AG34" s="72"/>
      <c r="AH34" s="118"/>
      <c r="AI34" s="72"/>
      <c r="AJ34" s="72"/>
      <c r="AK34" s="118"/>
      <c r="AL34" s="72"/>
      <c r="AM34" s="72"/>
      <c r="AN34" s="118"/>
      <c r="AO34" s="72"/>
      <c r="AP34" s="72"/>
      <c r="AQ34" s="118"/>
      <c r="AR34" s="70"/>
      <c r="AS34" s="81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</row>
    <row r="35" spans="1:58" ht="14.25" customHeight="1" x14ac:dyDescent="0.35">
      <c r="A35" s="137"/>
      <c r="B35" s="133"/>
      <c r="C35" s="80" t="s">
        <v>540</v>
      </c>
      <c r="D35" s="80"/>
      <c r="E35" s="80">
        <v>6</v>
      </c>
      <c r="F35" s="80"/>
      <c r="G35" s="133"/>
      <c r="H35" s="80">
        <v>6</v>
      </c>
      <c r="I35" s="80"/>
      <c r="J35" s="133"/>
      <c r="K35" s="80">
        <v>6</v>
      </c>
      <c r="L35" s="80"/>
      <c r="M35" s="80"/>
      <c r="N35" s="73">
        <v>6</v>
      </c>
      <c r="O35" s="73"/>
      <c r="P35" s="121"/>
      <c r="Q35" s="108">
        <v>6</v>
      </c>
      <c r="R35" s="72"/>
      <c r="S35" s="118"/>
      <c r="T35" s="116">
        <v>6</v>
      </c>
      <c r="U35" s="72"/>
      <c r="V35" s="118"/>
      <c r="W35" s="72"/>
      <c r="X35" s="72"/>
      <c r="Y35" s="118"/>
      <c r="Z35" s="72"/>
      <c r="AA35" s="72"/>
      <c r="AB35" s="118"/>
      <c r="AC35" s="72">
        <v>6</v>
      </c>
      <c r="AD35" s="72"/>
      <c r="AE35" s="118"/>
      <c r="AF35" s="72"/>
      <c r="AG35" s="72"/>
      <c r="AH35" s="118"/>
      <c r="AI35" s="72"/>
      <c r="AJ35" s="72"/>
      <c r="AK35" s="118"/>
      <c r="AL35" s="72"/>
      <c r="AM35" s="72"/>
      <c r="AN35" s="118"/>
      <c r="AO35" s="72"/>
      <c r="AP35" s="72"/>
      <c r="AQ35" s="118"/>
      <c r="AR35" s="70"/>
      <c r="AS35" s="81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</row>
    <row r="36" spans="1:58" ht="14.25" customHeight="1" x14ac:dyDescent="0.35">
      <c r="A36" s="137"/>
      <c r="B36" s="133"/>
      <c r="C36" s="80" t="s">
        <v>541</v>
      </c>
      <c r="D36" s="80"/>
      <c r="E36" s="80">
        <v>3</v>
      </c>
      <c r="F36" s="80"/>
      <c r="G36" s="133"/>
      <c r="H36" s="80">
        <v>2</v>
      </c>
      <c r="I36" s="80"/>
      <c r="J36" s="133"/>
      <c r="K36" s="80">
        <v>2</v>
      </c>
      <c r="L36" s="80"/>
      <c r="M36" s="80"/>
      <c r="N36" s="73">
        <v>6</v>
      </c>
      <c r="O36" s="73"/>
      <c r="P36" s="121"/>
      <c r="Q36" s="108">
        <v>6</v>
      </c>
      <c r="R36" s="72"/>
      <c r="S36" s="118"/>
      <c r="T36" s="116">
        <v>2</v>
      </c>
      <c r="U36" s="72"/>
      <c r="V36" s="118"/>
      <c r="W36" s="72"/>
      <c r="X36" s="72"/>
      <c r="Y36" s="118"/>
      <c r="Z36" s="72"/>
      <c r="AA36" s="72"/>
      <c r="AB36" s="118"/>
      <c r="AC36" s="72">
        <v>6</v>
      </c>
      <c r="AD36" s="72"/>
      <c r="AE36" s="118"/>
      <c r="AF36" s="72"/>
      <c r="AG36" s="72"/>
      <c r="AH36" s="118"/>
      <c r="AI36" s="72"/>
      <c r="AJ36" s="72"/>
      <c r="AK36" s="118"/>
      <c r="AL36" s="72"/>
      <c r="AM36" s="72"/>
      <c r="AN36" s="118"/>
      <c r="AO36" s="72"/>
      <c r="AP36" s="72"/>
      <c r="AQ36" s="118"/>
      <c r="AR36" s="70"/>
      <c r="AS36" s="81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</row>
    <row r="37" spans="1:58" ht="14.25" customHeight="1" x14ac:dyDescent="0.35">
      <c r="A37" s="137"/>
      <c r="B37" s="133"/>
      <c r="C37" s="80" t="s">
        <v>543</v>
      </c>
      <c r="D37" s="80" t="s">
        <v>544</v>
      </c>
      <c r="E37" s="80" t="s">
        <v>583</v>
      </c>
      <c r="F37" s="80"/>
      <c r="G37" s="133"/>
      <c r="H37" s="80" t="s">
        <v>583</v>
      </c>
      <c r="I37" s="80"/>
      <c r="J37" s="133"/>
      <c r="K37" s="80" t="s">
        <v>583</v>
      </c>
      <c r="L37" s="80"/>
      <c r="M37" s="80"/>
      <c r="N37" s="73" t="s">
        <v>583</v>
      </c>
      <c r="O37" s="73"/>
      <c r="P37" s="121"/>
      <c r="Q37" s="108" t="s">
        <v>583</v>
      </c>
      <c r="R37" s="72"/>
      <c r="S37" s="118"/>
      <c r="T37" s="116" t="s">
        <v>583</v>
      </c>
      <c r="U37" s="72"/>
      <c r="V37" s="118"/>
      <c r="W37" s="72" t="s">
        <v>583</v>
      </c>
      <c r="X37" s="72"/>
      <c r="Y37" s="118"/>
      <c r="Z37" s="72"/>
      <c r="AA37" s="72"/>
      <c r="AB37" s="118"/>
      <c r="AC37" s="72"/>
      <c r="AD37" s="72"/>
      <c r="AE37" s="118"/>
      <c r="AF37" s="72"/>
      <c r="AG37" s="72"/>
      <c r="AH37" s="118"/>
      <c r="AI37" s="72"/>
      <c r="AJ37" s="72"/>
      <c r="AK37" s="118"/>
      <c r="AL37" s="72"/>
      <c r="AM37" s="72"/>
      <c r="AN37" s="118"/>
      <c r="AO37" s="72"/>
      <c r="AP37" s="72"/>
      <c r="AQ37" s="118"/>
      <c r="AR37" s="70"/>
      <c r="AS37" s="81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</row>
    <row r="38" spans="1:58" ht="14.25" customHeight="1" x14ac:dyDescent="0.35">
      <c r="A38" s="137"/>
      <c r="B38" s="133"/>
      <c r="C38" s="80" t="s">
        <v>593</v>
      </c>
      <c r="D38" s="80"/>
      <c r="E38" s="80">
        <v>2</v>
      </c>
      <c r="F38" s="80"/>
      <c r="G38" s="133"/>
      <c r="H38" s="80">
        <v>2</v>
      </c>
      <c r="I38" s="80"/>
      <c r="J38" s="133"/>
      <c r="K38" s="80">
        <v>2</v>
      </c>
      <c r="L38" s="80"/>
      <c r="M38" s="80"/>
      <c r="N38" s="73">
        <v>2</v>
      </c>
      <c r="O38" s="73"/>
      <c r="P38" s="121"/>
      <c r="Q38" s="108">
        <v>2</v>
      </c>
      <c r="R38" s="72"/>
      <c r="S38" s="118"/>
      <c r="T38" s="116">
        <v>2</v>
      </c>
      <c r="U38" s="72"/>
      <c r="V38" s="118"/>
      <c r="W38" s="72">
        <v>2</v>
      </c>
      <c r="X38" s="72"/>
      <c r="Y38" s="118"/>
      <c r="Z38" s="72"/>
      <c r="AA38" s="72"/>
      <c r="AB38" s="118"/>
      <c r="AC38" s="72">
        <v>2</v>
      </c>
      <c r="AD38" s="72"/>
      <c r="AE38" s="118"/>
      <c r="AF38" s="72"/>
      <c r="AG38" s="72"/>
      <c r="AH38" s="118"/>
      <c r="AI38" s="72"/>
      <c r="AJ38" s="72"/>
      <c r="AK38" s="118"/>
      <c r="AL38" s="72"/>
      <c r="AM38" s="72"/>
      <c r="AN38" s="118"/>
      <c r="AO38" s="72"/>
      <c r="AP38" s="72"/>
      <c r="AQ38" s="118"/>
      <c r="AR38" s="70"/>
      <c r="AS38" s="81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</row>
    <row r="39" spans="1:58" ht="14.25" customHeight="1" x14ac:dyDescent="0.35">
      <c r="A39" s="137"/>
      <c r="B39" s="133"/>
      <c r="C39" s="80" t="s">
        <v>594</v>
      </c>
      <c r="D39" s="80"/>
      <c r="E39" s="80">
        <v>2</v>
      </c>
      <c r="F39" s="80"/>
      <c r="G39" s="133"/>
      <c r="H39" s="80">
        <v>2</v>
      </c>
      <c r="I39" s="80"/>
      <c r="J39" s="133"/>
      <c r="K39" s="80">
        <v>2</v>
      </c>
      <c r="L39" s="80"/>
      <c r="M39" s="80"/>
      <c r="N39" s="73">
        <v>2</v>
      </c>
      <c r="O39" s="73"/>
      <c r="P39" s="121"/>
      <c r="Q39" s="108">
        <v>2</v>
      </c>
      <c r="R39" s="72"/>
      <c r="S39" s="118"/>
      <c r="T39" s="116">
        <v>2</v>
      </c>
      <c r="U39" s="72"/>
      <c r="V39" s="118"/>
      <c r="W39" s="72">
        <v>2</v>
      </c>
      <c r="X39" s="72"/>
      <c r="Y39" s="118"/>
      <c r="Z39" s="72"/>
      <c r="AA39" s="72"/>
      <c r="AB39" s="118"/>
      <c r="AC39" s="72">
        <v>2</v>
      </c>
      <c r="AD39" s="72"/>
      <c r="AE39" s="118"/>
      <c r="AF39" s="72"/>
      <c r="AG39" s="72"/>
      <c r="AH39" s="118"/>
      <c r="AI39" s="72"/>
      <c r="AJ39" s="72"/>
      <c r="AK39" s="118"/>
      <c r="AL39" s="72"/>
      <c r="AM39" s="72"/>
      <c r="AN39" s="118"/>
      <c r="AO39" s="72"/>
      <c r="AP39" s="72"/>
      <c r="AQ39" s="118"/>
      <c r="AR39" s="70"/>
      <c r="AS39" s="81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</row>
    <row r="40" spans="1:58" ht="14.25" customHeight="1" x14ac:dyDescent="0.35">
      <c r="A40" s="137"/>
      <c r="B40" s="133"/>
      <c r="C40" s="80" t="s">
        <v>595</v>
      </c>
      <c r="D40" s="80"/>
      <c r="E40" s="80">
        <v>2</v>
      </c>
      <c r="F40" s="80"/>
      <c r="G40" s="133"/>
      <c r="H40" s="80">
        <v>2</v>
      </c>
      <c r="I40" s="80"/>
      <c r="J40" s="133"/>
      <c r="K40" s="80">
        <v>2</v>
      </c>
      <c r="L40" s="80"/>
      <c r="M40" s="80"/>
      <c r="N40" s="73">
        <v>2</v>
      </c>
      <c r="O40" s="73"/>
      <c r="P40" s="121"/>
      <c r="Q40" s="108">
        <v>2</v>
      </c>
      <c r="R40" s="72"/>
      <c r="S40" s="118"/>
      <c r="T40" s="116">
        <v>2</v>
      </c>
      <c r="U40" s="72"/>
      <c r="V40" s="118"/>
      <c r="W40" s="72">
        <v>2</v>
      </c>
      <c r="X40" s="72"/>
      <c r="Y40" s="118"/>
      <c r="Z40" s="72"/>
      <c r="AA40" s="72"/>
      <c r="AB40" s="118"/>
      <c r="AC40" s="72">
        <v>2</v>
      </c>
      <c r="AD40" s="72"/>
      <c r="AE40" s="118"/>
      <c r="AF40" s="72"/>
      <c r="AG40" s="72"/>
      <c r="AH40" s="118"/>
      <c r="AI40" s="72"/>
      <c r="AJ40" s="72"/>
      <c r="AK40" s="118"/>
      <c r="AL40" s="72"/>
      <c r="AM40" s="72"/>
      <c r="AN40" s="118"/>
      <c r="AO40" s="72"/>
      <c r="AP40" s="72"/>
      <c r="AQ40" s="118"/>
      <c r="AR40" s="70"/>
      <c r="AS40" s="81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</row>
    <row r="41" spans="1:58" x14ac:dyDescent="0.35">
      <c r="A41" s="137"/>
      <c r="B41" s="131"/>
      <c r="C41" s="80" t="s">
        <v>545</v>
      </c>
      <c r="D41" s="80" t="s">
        <v>544</v>
      </c>
      <c r="E41" s="72" t="s">
        <v>583</v>
      </c>
      <c r="F41" s="72"/>
      <c r="G41" s="131"/>
      <c r="H41" s="72" t="s">
        <v>656</v>
      </c>
      <c r="I41" s="72"/>
      <c r="J41" s="131"/>
      <c r="K41" s="72" t="s">
        <v>656</v>
      </c>
      <c r="L41" s="80"/>
      <c r="M41" s="80"/>
      <c r="N41" s="72" t="s">
        <v>583</v>
      </c>
      <c r="O41" s="72"/>
      <c r="P41" s="132"/>
      <c r="Q41" s="108" t="s">
        <v>583</v>
      </c>
      <c r="R41" s="72"/>
      <c r="S41" s="125"/>
      <c r="T41" s="116" t="s">
        <v>656</v>
      </c>
      <c r="U41" s="72"/>
      <c r="V41" s="125"/>
      <c r="W41" s="72" t="s">
        <v>656</v>
      </c>
      <c r="X41" s="72"/>
      <c r="Y41" s="125"/>
      <c r="Z41" s="72"/>
      <c r="AA41" s="72"/>
      <c r="AB41" s="125"/>
      <c r="AC41" s="72"/>
      <c r="AD41" s="72"/>
      <c r="AE41" s="125"/>
      <c r="AF41" s="72"/>
      <c r="AG41" s="72"/>
      <c r="AH41" s="125"/>
      <c r="AI41" s="72"/>
      <c r="AJ41" s="72"/>
      <c r="AK41" s="125"/>
      <c r="AL41" s="72"/>
      <c r="AM41" s="72"/>
      <c r="AN41" s="125"/>
      <c r="AO41" s="72"/>
      <c r="AP41" s="72"/>
      <c r="AQ41" s="125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</row>
    <row r="42" spans="1:58" ht="13.9" customHeight="1" x14ac:dyDescent="0.35">
      <c r="A42" s="137"/>
      <c r="B42" s="126" t="s">
        <v>610</v>
      </c>
      <c r="C42" s="80" t="s">
        <v>538</v>
      </c>
      <c r="D42" s="80" t="s">
        <v>19</v>
      </c>
      <c r="E42" s="80">
        <v>70.8</v>
      </c>
      <c r="F42" s="80"/>
      <c r="G42" s="80"/>
      <c r="H42" s="80">
        <v>64.64</v>
      </c>
      <c r="I42" s="80"/>
      <c r="J42" s="80"/>
      <c r="K42" s="80">
        <v>64.7</v>
      </c>
      <c r="L42" s="80"/>
      <c r="M42" s="80"/>
      <c r="N42" s="72">
        <v>74.7</v>
      </c>
      <c r="O42" s="72"/>
      <c r="P42" s="72"/>
      <c r="Q42" s="109">
        <v>71.2</v>
      </c>
      <c r="R42" s="72"/>
      <c r="S42" s="72"/>
      <c r="T42" s="72">
        <v>63</v>
      </c>
      <c r="U42" s="72"/>
      <c r="V42" s="72"/>
      <c r="W42" s="72">
        <v>71</v>
      </c>
      <c r="X42" s="72"/>
      <c r="Y42" s="72"/>
      <c r="Z42" s="72"/>
      <c r="AA42" s="72"/>
      <c r="AB42" s="72"/>
      <c r="AC42" s="72">
        <v>68.900000000000006</v>
      </c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</row>
    <row r="43" spans="1:58" ht="13.9" customHeight="1" x14ac:dyDescent="0.35">
      <c r="A43" s="137"/>
      <c r="B43" s="126"/>
      <c r="C43" s="80" t="s">
        <v>539</v>
      </c>
      <c r="D43" s="80" t="s">
        <v>19</v>
      </c>
      <c r="E43" s="80">
        <v>70.8</v>
      </c>
      <c r="F43" s="80"/>
      <c r="G43" s="80"/>
      <c r="H43" s="80">
        <v>64.94</v>
      </c>
      <c r="I43" s="80"/>
      <c r="J43" s="80"/>
      <c r="K43" s="80">
        <v>64.7</v>
      </c>
      <c r="L43" s="80"/>
      <c r="M43" s="80"/>
      <c r="N43" s="72">
        <v>74.7</v>
      </c>
      <c r="O43" s="72"/>
      <c r="P43" s="72"/>
      <c r="Q43" s="109">
        <v>71.2</v>
      </c>
      <c r="R43" s="72"/>
      <c r="S43" s="72"/>
      <c r="T43" s="72">
        <v>63</v>
      </c>
      <c r="U43" s="72"/>
      <c r="V43" s="72"/>
      <c r="W43" s="72">
        <v>71</v>
      </c>
      <c r="X43" s="72"/>
      <c r="Y43" s="72"/>
      <c r="Z43" s="72"/>
      <c r="AA43" s="72"/>
      <c r="AB43" s="72"/>
      <c r="AC43" s="72">
        <v>68.900000000000006</v>
      </c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</row>
    <row r="44" spans="1:58" ht="13.9" customHeight="1" x14ac:dyDescent="0.35">
      <c r="A44" s="137"/>
      <c r="B44" s="126"/>
      <c r="C44" s="80" t="s">
        <v>569</v>
      </c>
      <c r="D44" s="80" t="s">
        <v>627</v>
      </c>
      <c r="E44" s="80">
        <v>145</v>
      </c>
      <c r="F44" s="80"/>
      <c r="G44" s="80"/>
      <c r="H44" s="80">
        <v>171</v>
      </c>
      <c r="I44" s="80"/>
      <c r="J44" s="80"/>
      <c r="K44" s="80">
        <v>171</v>
      </c>
      <c r="L44" s="80"/>
      <c r="M44" s="80"/>
      <c r="N44" s="72">
        <v>148</v>
      </c>
      <c r="O44" s="72"/>
      <c r="P44" s="72"/>
      <c r="Q44" s="109">
        <v>108</v>
      </c>
      <c r="R44" s="72"/>
      <c r="S44" s="72"/>
      <c r="T44" s="72">
        <v>139</v>
      </c>
      <c r="U44" s="72"/>
      <c r="V44" s="72"/>
      <c r="W44" s="72">
        <v>152</v>
      </c>
      <c r="X44" s="72"/>
      <c r="Y44" s="72"/>
      <c r="Z44" s="72">
        <v>145</v>
      </c>
      <c r="AA44" s="72"/>
      <c r="AB44" s="72"/>
      <c r="AC44" s="72">
        <v>150</v>
      </c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</row>
    <row r="45" spans="1:58" ht="15.75" customHeight="1" thickBot="1" x14ac:dyDescent="0.4">
      <c r="A45" s="137"/>
      <c r="B45" s="126"/>
      <c r="C45" s="80" t="s">
        <v>570</v>
      </c>
      <c r="D45" s="80" t="s">
        <v>627</v>
      </c>
      <c r="E45" s="80">
        <v>90</v>
      </c>
      <c r="F45" s="80"/>
      <c r="G45" s="80"/>
      <c r="H45" s="80">
        <v>171</v>
      </c>
      <c r="I45" s="80"/>
      <c r="J45" s="80"/>
      <c r="K45" s="80">
        <v>171</v>
      </c>
      <c r="L45" s="80"/>
      <c r="M45" s="80"/>
      <c r="N45" s="72">
        <v>148</v>
      </c>
      <c r="O45" s="72"/>
      <c r="P45" s="72"/>
      <c r="Q45" s="109">
        <v>108</v>
      </c>
      <c r="R45" s="72"/>
      <c r="S45" s="72"/>
      <c r="T45" s="72">
        <v>139</v>
      </c>
      <c r="U45" s="72"/>
      <c r="V45" s="72"/>
      <c r="W45" s="72">
        <v>152</v>
      </c>
      <c r="X45" s="72"/>
      <c r="Y45" s="72"/>
      <c r="Z45" s="72">
        <v>145</v>
      </c>
      <c r="AA45" s="72"/>
      <c r="AB45" s="72"/>
      <c r="AC45" s="72">
        <v>150</v>
      </c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</row>
    <row r="46" spans="1:58" ht="28.5" customHeight="1" x14ac:dyDescent="0.35">
      <c r="A46" s="137"/>
      <c r="B46" s="126" t="s">
        <v>546</v>
      </c>
      <c r="C46" s="80" t="s">
        <v>547</v>
      </c>
      <c r="D46" s="80" t="s">
        <v>0</v>
      </c>
      <c r="E46" s="72">
        <v>75000</v>
      </c>
      <c r="F46" s="72"/>
      <c r="G46" s="122"/>
      <c r="H46" s="72">
        <v>90718</v>
      </c>
      <c r="I46" s="72"/>
      <c r="J46" s="122"/>
      <c r="K46" s="72">
        <v>90718</v>
      </c>
      <c r="L46" s="72"/>
      <c r="M46" s="72"/>
      <c r="N46" s="72">
        <v>85000</v>
      </c>
      <c r="O46" s="72"/>
      <c r="P46" s="122"/>
      <c r="Q46" s="109">
        <v>75100</v>
      </c>
      <c r="R46" s="72"/>
      <c r="S46" s="122"/>
      <c r="T46" s="72">
        <v>69900</v>
      </c>
      <c r="U46" s="72"/>
      <c r="V46" s="122"/>
      <c r="W46" s="72">
        <v>87000</v>
      </c>
      <c r="X46" s="72"/>
      <c r="Y46" s="122"/>
      <c r="Z46" s="72"/>
      <c r="AA46" s="72"/>
      <c r="AB46" s="122"/>
      <c r="AC46" s="72">
        <v>82826</v>
      </c>
      <c r="AD46" s="72"/>
      <c r="AE46" s="122"/>
      <c r="AF46" s="73"/>
      <c r="AG46" s="73"/>
      <c r="AH46" s="123"/>
      <c r="AI46" s="73"/>
      <c r="AJ46" s="73"/>
      <c r="AK46" s="123"/>
      <c r="AL46" s="73"/>
      <c r="AM46" s="73"/>
      <c r="AN46" s="123"/>
      <c r="AO46" s="72"/>
      <c r="AP46" s="72"/>
      <c r="AQ46" s="122"/>
      <c r="AR46" s="70"/>
      <c r="AS46" s="86"/>
      <c r="AT46" s="87" t="s">
        <v>4</v>
      </c>
      <c r="AU46" s="87" t="s">
        <v>5</v>
      </c>
      <c r="AV46" s="87" t="s">
        <v>6</v>
      </c>
      <c r="AW46" s="87" t="s">
        <v>7</v>
      </c>
      <c r="AX46" s="87" t="s">
        <v>8</v>
      </c>
      <c r="AY46" s="87" t="s">
        <v>9</v>
      </c>
      <c r="AZ46" s="87" t="s">
        <v>10</v>
      </c>
      <c r="BA46" s="87" t="s">
        <v>11</v>
      </c>
      <c r="BB46" s="87" t="s">
        <v>12</v>
      </c>
      <c r="BC46" s="87" t="s">
        <v>13</v>
      </c>
      <c r="BD46" s="88" t="s">
        <v>14</v>
      </c>
      <c r="BE46" s="70"/>
      <c r="BF46" s="70"/>
    </row>
    <row r="47" spans="1:58" ht="13.9" customHeight="1" x14ac:dyDescent="0.35">
      <c r="A47" s="137"/>
      <c r="B47" s="126"/>
      <c r="C47" s="80" t="s">
        <v>634</v>
      </c>
      <c r="D47" s="80" t="s">
        <v>0</v>
      </c>
      <c r="E47" s="80">
        <v>57900</v>
      </c>
      <c r="F47" s="80"/>
      <c r="G47" s="118"/>
      <c r="H47" s="80">
        <v>60690</v>
      </c>
      <c r="I47" s="80"/>
      <c r="J47" s="118"/>
      <c r="K47" s="72">
        <v>61280</v>
      </c>
      <c r="L47" s="72"/>
      <c r="M47" s="72"/>
      <c r="N47" s="72">
        <v>58350</v>
      </c>
      <c r="O47" s="72"/>
      <c r="P47" s="118"/>
      <c r="Q47" s="109">
        <v>52450</v>
      </c>
      <c r="R47" s="72"/>
      <c r="S47" s="118"/>
      <c r="T47" s="72">
        <v>56800</v>
      </c>
      <c r="U47" s="72"/>
      <c r="V47" s="118"/>
      <c r="W47" s="72">
        <v>56900</v>
      </c>
      <c r="X47" s="72"/>
      <c r="Y47" s="118"/>
      <c r="Z47" s="72"/>
      <c r="AA47" s="72"/>
      <c r="AB47" s="118"/>
      <c r="AC47" s="72">
        <v>62868</v>
      </c>
      <c r="AD47" s="72"/>
      <c r="AE47" s="118"/>
      <c r="AF47" s="72"/>
      <c r="AG47" s="72"/>
      <c r="AH47" s="121"/>
      <c r="AI47" s="72"/>
      <c r="AJ47" s="72"/>
      <c r="AK47" s="121"/>
      <c r="AL47" s="72"/>
      <c r="AM47" s="72"/>
      <c r="AN47" s="121"/>
      <c r="AO47" s="72"/>
      <c r="AP47" s="72"/>
      <c r="AQ47" s="118"/>
      <c r="AR47" s="70"/>
      <c r="AS47" s="89" t="s">
        <v>320</v>
      </c>
      <c r="AT47" s="90">
        <v>2</v>
      </c>
      <c r="AU47" s="90">
        <v>3</v>
      </c>
      <c r="AV47" s="90">
        <v>2.5</v>
      </c>
      <c r="AW47" s="90">
        <v>3</v>
      </c>
      <c r="AX47" s="90">
        <v>2</v>
      </c>
      <c r="AY47" s="90">
        <v>3.5</v>
      </c>
      <c r="AZ47" s="90">
        <v>3</v>
      </c>
      <c r="BA47" s="90">
        <v>3.5</v>
      </c>
      <c r="BB47" s="90">
        <v>2.5</v>
      </c>
      <c r="BC47" s="90">
        <v>2.5</v>
      </c>
      <c r="BD47" s="91">
        <v>2.5</v>
      </c>
      <c r="BE47" s="70"/>
      <c r="BF47" s="70"/>
    </row>
    <row r="48" spans="1:58" ht="13.9" customHeight="1" x14ac:dyDescent="0.35">
      <c r="A48" s="137"/>
      <c r="B48" s="126"/>
      <c r="C48" s="80" t="s">
        <v>635</v>
      </c>
      <c r="D48" s="80" t="s">
        <v>0</v>
      </c>
      <c r="E48" s="80">
        <v>8900</v>
      </c>
      <c r="F48" s="80"/>
      <c r="G48" s="118"/>
      <c r="H48" s="80">
        <v>8391</v>
      </c>
      <c r="I48" s="80"/>
      <c r="J48" s="118"/>
      <c r="K48" s="72">
        <v>8938</v>
      </c>
      <c r="L48" s="72"/>
      <c r="M48" s="72"/>
      <c r="N48" s="72">
        <v>10875</v>
      </c>
      <c r="O48" s="72"/>
      <c r="P48" s="118"/>
      <c r="Q48" s="109">
        <v>9100</v>
      </c>
      <c r="R48" s="72"/>
      <c r="S48" s="118"/>
      <c r="T48" s="72">
        <v>7200</v>
      </c>
      <c r="U48" s="72"/>
      <c r="V48" s="118"/>
      <c r="W48" s="72">
        <v>7900</v>
      </c>
      <c r="X48" s="72"/>
      <c r="Y48" s="118"/>
      <c r="Z48" s="72"/>
      <c r="AA48" s="72"/>
      <c r="AB48" s="118"/>
      <c r="AC48" s="72">
        <v>8346</v>
      </c>
      <c r="AD48" s="72"/>
      <c r="AE48" s="118"/>
      <c r="AF48" s="72"/>
      <c r="AG48" s="72"/>
      <c r="AH48" s="121"/>
      <c r="AI48" s="72"/>
      <c r="AJ48" s="72"/>
      <c r="AK48" s="121"/>
      <c r="AL48" s="72"/>
      <c r="AM48" s="72"/>
      <c r="AN48" s="121"/>
      <c r="AO48" s="72"/>
      <c r="AP48" s="72"/>
      <c r="AQ48" s="118"/>
      <c r="AR48" s="70"/>
      <c r="AS48" s="89" t="s">
        <v>324</v>
      </c>
      <c r="AT48" s="90">
        <v>3</v>
      </c>
      <c r="AU48" s="90">
        <v>3</v>
      </c>
      <c r="AV48" s="90">
        <v>3</v>
      </c>
      <c r="AW48" s="90">
        <v>3</v>
      </c>
      <c r="AX48" s="90">
        <v>3</v>
      </c>
      <c r="AY48" s="90">
        <v>3</v>
      </c>
      <c r="AZ48" s="90">
        <v>3</v>
      </c>
      <c r="BA48" s="90">
        <v>3</v>
      </c>
      <c r="BB48" s="90">
        <v>3</v>
      </c>
      <c r="BC48" s="90">
        <v>3</v>
      </c>
      <c r="BD48" s="91">
        <v>3</v>
      </c>
      <c r="BE48" s="70"/>
      <c r="BF48" s="70"/>
    </row>
    <row r="49" spans="1:58" ht="13.9" customHeight="1" x14ac:dyDescent="0.35">
      <c r="A49" s="137"/>
      <c r="B49" s="126"/>
      <c r="C49" s="80" t="s">
        <v>636</v>
      </c>
      <c r="D49" s="80" t="s">
        <v>0</v>
      </c>
      <c r="E49" s="80">
        <v>4100</v>
      </c>
      <c r="F49" s="80"/>
      <c r="G49" s="118"/>
      <c r="H49" s="80">
        <v>3855</v>
      </c>
      <c r="I49" s="80"/>
      <c r="J49" s="118"/>
      <c r="K49" s="72">
        <v>4173</v>
      </c>
      <c r="L49" s="72"/>
      <c r="M49" s="72"/>
      <c r="N49" s="72">
        <v>4960</v>
      </c>
      <c r="O49" s="72"/>
      <c r="P49" s="118"/>
      <c r="Q49" s="109">
        <v>4550</v>
      </c>
      <c r="R49" s="72"/>
      <c r="S49" s="118"/>
      <c r="T49" s="72">
        <v>3200</v>
      </c>
      <c r="U49" s="72"/>
      <c r="V49" s="118"/>
      <c r="W49" s="72">
        <v>3200</v>
      </c>
      <c r="X49" s="72"/>
      <c r="Y49" s="118"/>
      <c r="Z49" s="72"/>
      <c r="AA49" s="72"/>
      <c r="AB49" s="118"/>
      <c r="AC49" s="72">
        <v>4082</v>
      </c>
      <c r="AD49" s="72"/>
      <c r="AE49" s="118"/>
      <c r="AF49" s="72"/>
      <c r="AG49" s="72"/>
      <c r="AH49" s="121"/>
      <c r="AI49" s="72"/>
      <c r="AJ49" s="72"/>
      <c r="AK49" s="121"/>
      <c r="AL49" s="72"/>
      <c r="AM49" s="72"/>
      <c r="AN49" s="121"/>
      <c r="AO49" s="72"/>
      <c r="AP49" s="72"/>
      <c r="AQ49" s="118"/>
      <c r="AR49" s="70"/>
      <c r="AS49" s="89" t="s">
        <v>374</v>
      </c>
      <c r="AT49" s="90">
        <v>3.3</v>
      </c>
      <c r="AU49" s="90">
        <v>3</v>
      </c>
      <c r="AV49" s="90">
        <v>2.2999999999999998</v>
      </c>
      <c r="AW49" s="90">
        <v>3.3</v>
      </c>
      <c r="AX49" s="90">
        <v>5</v>
      </c>
      <c r="AY49" s="90">
        <v>2.2999999999999998</v>
      </c>
      <c r="AZ49" s="90">
        <v>2.2999999999999998</v>
      </c>
      <c r="BA49" s="90">
        <v>2.2000000000000002</v>
      </c>
      <c r="BB49" s="90">
        <v>3</v>
      </c>
      <c r="BC49" s="90">
        <v>3</v>
      </c>
      <c r="BD49" s="91">
        <v>3.8</v>
      </c>
      <c r="BE49" s="70"/>
      <c r="BF49" s="70"/>
    </row>
    <row r="50" spans="1:58" ht="13.9" customHeight="1" x14ac:dyDescent="0.35">
      <c r="A50" s="137"/>
      <c r="B50" s="126"/>
      <c r="C50" s="80" t="s">
        <v>567</v>
      </c>
      <c r="D50" s="80" t="s">
        <v>142</v>
      </c>
      <c r="E50" s="80">
        <v>40</v>
      </c>
      <c r="F50" s="80"/>
      <c r="G50" s="118"/>
      <c r="H50" s="80">
        <v>44</v>
      </c>
      <c r="I50" s="80"/>
      <c r="J50" s="118"/>
      <c r="K50" s="72">
        <v>47.2</v>
      </c>
      <c r="L50" s="72"/>
      <c r="M50" s="72"/>
      <c r="N50" s="72">
        <v>42</v>
      </c>
      <c r="O50" s="72"/>
      <c r="P50" s="118"/>
      <c r="Q50" s="72">
        <v>44</v>
      </c>
      <c r="R50" s="72"/>
      <c r="S50" s="118"/>
      <c r="T50" s="72">
        <v>40</v>
      </c>
      <c r="U50" s="72"/>
      <c r="V50" s="118"/>
      <c r="W50" s="72">
        <v>38</v>
      </c>
      <c r="X50" s="72"/>
      <c r="Y50" s="118"/>
      <c r="Z50" s="72"/>
      <c r="AA50" s="72"/>
      <c r="AB50" s="118"/>
      <c r="AC50" s="72">
        <v>42.6</v>
      </c>
      <c r="AD50" s="72"/>
      <c r="AE50" s="118"/>
      <c r="AF50" s="72"/>
      <c r="AG50" s="72"/>
      <c r="AH50" s="121"/>
      <c r="AI50" s="72"/>
      <c r="AJ50" s="72"/>
      <c r="AK50" s="121"/>
      <c r="AL50" s="72"/>
      <c r="AM50" s="72"/>
      <c r="AN50" s="121"/>
      <c r="AO50" s="72"/>
      <c r="AP50" s="72"/>
      <c r="AQ50" s="118"/>
      <c r="AR50" s="70"/>
      <c r="AS50" s="89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1"/>
      <c r="BE50" s="70"/>
      <c r="BF50" s="70"/>
    </row>
    <row r="51" spans="1:58" ht="13.9" customHeight="1" x14ac:dyDescent="0.35">
      <c r="A51" s="137"/>
      <c r="B51" s="126"/>
      <c r="C51" s="80" t="s">
        <v>602</v>
      </c>
      <c r="D51" s="80" t="s">
        <v>0</v>
      </c>
      <c r="E51" s="80">
        <v>800</v>
      </c>
      <c r="F51" s="80"/>
      <c r="G51" s="118"/>
      <c r="H51" s="80">
        <v>771</v>
      </c>
      <c r="I51" s="80"/>
      <c r="J51" s="118"/>
      <c r="K51" s="72">
        <v>590</v>
      </c>
      <c r="L51" s="72"/>
      <c r="M51" s="72"/>
      <c r="N51" s="72">
        <v>1690</v>
      </c>
      <c r="O51" s="72"/>
      <c r="P51" s="118"/>
      <c r="Q51" s="72">
        <v>1000</v>
      </c>
      <c r="R51" s="72"/>
      <c r="S51" s="118"/>
      <c r="T51" s="72">
        <v>1200</v>
      </c>
      <c r="U51" s="72"/>
      <c r="V51" s="118"/>
      <c r="W51" s="72">
        <v>1000</v>
      </c>
      <c r="X51" s="72"/>
      <c r="Y51" s="118"/>
      <c r="Z51" s="72"/>
      <c r="AA51" s="72"/>
      <c r="AB51" s="118"/>
      <c r="AC51" s="72">
        <v>953</v>
      </c>
      <c r="AD51" s="72"/>
      <c r="AE51" s="118"/>
      <c r="AF51" s="72"/>
      <c r="AG51" s="72"/>
      <c r="AH51" s="121"/>
      <c r="AI51" s="72"/>
      <c r="AJ51" s="72"/>
      <c r="AK51" s="121"/>
      <c r="AL51" s="72"/>
      <c r="AM51" s="72"/>
      <c r="AN51" s="121"/>
      <c r="AO51" s="72"/>
      <c r="AP51" s="72"/>
      <c r="AQ51" s="118"/>
      <c r="AR51" s="70"/>
      <c r="AS51" s="89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1"/>
      <c r="BE51" s="70"/>
      <c r="BF51" s="70"/>
    </row>
    <row r="52" spans="1:58" ht="13.9" customHeight="1" x14ac:dyDescent="0.35">
      <c r="A52" s="137"/>
      <c r="B52" s="126"/>
      <c r="C52" s="80" t="s">
        <v>638</v>
      </c>
      <c r="D52" s="80" t="s">
        <v>0</v>
      </c>
      <c r="E52" s="80">
        <v>5500</v>
      </c>
      <c r="F52" s="80"/>
      <c r="G52" s="118"/>
      <c r="H52" s="80">
        <v>5397</v>
      </c>
      <c r="I52" s="80"/>
      <c r="J52" s="118"/>
      <c r="K52" s="72">
        <v>4717</v>
      </c>
      <c r="L52" s="72"/>
      <c r="M52" s="72"/>
      <c r="N52" s="72">
        <v>6305</v>
      </c>
      <c r="O52" s="72"/>
      <c r="P52" s="118"/>
      <c r="Q52" s="72">
        <v>5300</v>
      </c>
      <c r="R52" s="72"/>
      <c r="S52" s="118"/>
      <c r="T52" s="72">
        <v>7300</v>
      </c>
      <c r="U52" s="72"/>
      <c r="V52" s="118"/>
      <c r="W52" s="72">
        <v>6700</v>
      </c>
      <c r="X52" s="72"/>
      <c r="Y52" s="118"/>
      <c r="Z52" s="72"/>
      <c r="AA52" s="72"/>
      <c r="AB52" s="118"/>
      <c r="AC52" s="72">
        <v>4990</v>
      </c>
      <c r="AD52" s="72"/>
      <c r="AE52" s="118"/>
      <c r="AF52" s="72"/>
      <c r="AG52" s="72"/>
      <c r="AH52" s="121"/>
      <c r="AI52" s="72"/>
      <c r="AJ52" s="72"/>
      <c r="AK52" s="121"/>
      <c r="AL52" s="72"/>
      <c r="AM52" s="72"/>
      <c r="AN52" s="121"/>
      <c r="AO52" s="72"/>
      <c r="AP52" s="72"/>
      <c r="AQ52" s="118"/>
      <c r="AR52" s="70"/>
      <c r="AS52" s="89" t="s">
        <v>330</v>
      </c>
      <c r="AT52" s="90">
        <v>5</v>
      </c>
      <c r="AU52" s="90">
        <v>5</v>
      </c>
      <c r="AV52" s="90">
        <v>5</v>
      </c>
      <c r="AW52" s="90">
        <v>3</v>
      </c>
      <c r="AX52" s="90">
        <v>1</v>
      </c>
      <c r="AY52" s="90">
        <v>1</v>
      </c>
      <c r="AZ52" s="90">
        <v>1</v>
      </c>
      <c r="BA52" s="90">
        <v>1</v>
      </c>
      <c r="BB52" s="90">
        <v>1</v>
      </c>
      <c r="BC52" s="90">
        <v>1</v>
      </c>
      <c r="BD52" s="91">
        <v>3</v>
      </c>
      <c r="BE52" s="70"/>
      <c r="BF52" s="70"/>
    </row>
    <row r="53" spans="1:58" ht="13.9" customHeight="1" x14ac:dyDescent="0.35">
      <c r="A53" s="137"/>
      <c r="B53" s="126"/>
      <c r="C53" s="80" t="s">
        <v>637</v>
      </c>
      <c r="D53" s="80" t="s">
        <v>0</v>
      </c>
      <c r="E53" s="80">
        <v>1100</v>
      </c>
      <c r="F53" s="80"/>
      <c r="G53" s="118"/>
      <c r="H53" s="80">
        <v>2131</v>
      </c>
      <c r="I53" s="80"/>
      <c r="J53" s="118"/>
      <c r="K53" s="72">
        <v>2132</v>
      </c>
      <c r="L53" s="72"/>
      <c r="M53" s="72"/>
      <c r="N53" s="72">
        <v>1870</v>
      </c>
      <c r="O53" s="72"/>
      <c r="P53" s="118"/>
      <c r="Q53" s="72">
        <v>2400</v>
      </c>
      <c r="R53" s="72"/>
      <c r="S53" s="118"/>
      <c r="T53" s="72">
        <v>2000</v>
      </c>
      <c r="U53" s="72"/>
      <c r="V53" s="118"/>
      <c r="W53" s="72">
        <v>1400</v>
      </c>
      <c r="X53" s="72"/>
      <c r="Y53" s="118"/>
      <c r="Z53" s="72"/>
      <c r="AA53" s="72"/>
      <c r="AB53" s="118"/>
      <c r="AC53" s="72">
        <v>1180</v>
      </c>
      <c r="AD53" s="72"/>
      <c r="AE53" s="118"/>
      <c r="AF53" s="72"/>
      <c r="AG53" s="72"/>
      <c r="AH53" s="121"/>
      <c r="AI53" s="72"/>
      <c r="AJ53" s="72"/>
      <c r="AK53" s="121"/>
      <c r="AL53" s="72"/>
      <c r="AM53" s="72"/>
      <c r="AN53" s="121"/>
      <c r="AO53" s="72"/>
      <c r="AP53" s="72"/>
      <c r="AQ53" s="118"/>
      <c r="AR53" s="70"/>
      <c r="AS53" s="89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1"/>
      <c r="BE53" s="70"/>
      <c r="BF53" s="70"/>
    </row>
    <row r="54" spans="1:58" ht="13.9" customHeight="1" x14ac:dyDescent="0.35">
      <c r="A54" s="137"/>
      <c r="B54" s="126"/>
      <c r="C54" s="80" t="s">
        <v>562</v>
      </c>
      <c r="D54" s="80" t="s">
        <v>142</v>
      </c>
      <c r="E54" s="80">
        <v>50</v>
      </c>
      <c r="F54" s="80"/>
      <c r="G54" s="118"/>
      <c r="H54" s="80">
        <v>51.8</v>
      </c>
      <c r="I54" s="80"/>
      <c r="J54" s="118"/>
      <c r="K54" s="72">
        <v>53.3</v>
      </c>
      <c r="L54" s="72"/>
      <c r="M54" s="72"/>
      <c r="N54" s="72">
        <v>48</v>
      </c>
      <c r="O54" s="72"/>
      <c r="P54" s="118"/>
      <c r="Q54" s="108">
        <v>54</v>
      </c>
      <c r="R54" s="72"/>
      <c r="S54" s="118"/>
      <c r="T54" s="116">
        <v>50</v>
      </c>
      <c r="U54" s="72"/>
      <c r="V54" s="118"/>
      <c r="W54" s="72">
        <v>42</v>
      </c>
      <c r="X54" s="72"/>
      <c r="Y54" s="118"/>
      <c r="Z54" s="72"/>
      <c r="AA54" s="72"/>
      <c r="AB54" s="118"/>
      <c r="AC54" s="72">
        <v>41.5</v>
      </c>
      <c r="AD54" s="72"/>
      <c r="AE54" s="118"/>
      <c r="AF54" s="72"/>
      <c r="AG54" s="72"/>
      <c r="AH54" s="121"/>
      <c r="AI54" s="72"/>
      <c r="AJ54" s="72"/>
      <c r="AK54" s="121"/>
      <c r="AL54" s="72"/>
      <c r="AM54" s="72"/>
      <c r="AN54" s="121"/>
      <c r="AO54" s="72"/>
      <c r="AP54" s="72"/>
      <c r="AQ54" s="118"/>
      <c r="AR54" s="70"/>
      <c r="AS54" s="89" t="s">
        <v>333</v>
      </c>
      <c r="AT54" s="90">
        <v>3.3</v>
      </c>
      <c r="AU54" s="90">
        <v>3.6</v>
      </c>
      <c r="AV54" s="90">
        <v>3.6</v>
      </c>
      <c r="AW54" s="90">
        <v>3</v>
      </c>
      <c r="AX54" s="90">
        <v>3</v>
      </c>
      <c r="AY54" s="90">
        <v>2.2999999999999998</v>
      </c>
      <c r="AZ54" s="90">
        <v>2.2999999999999998</v>
      </c>
      <c r="BA54" s="90">
        <v>1.7</v>
      </c>
      <c r="BB54" s="90">
        <v>2.7</v>
      </c>
      <c r="BC54" s="90">
        <v>2</v>
      </c>
      <c r="BD54" s="91">
        <v>3.8</v>
      </c>
      <c r="BE54" s="70"/>
      <c r="BF54" s="70"/>
    </row>
    <row r="55" spans="1:58" ht="13.9" customHeight="1" x14ac:dyDescent="0.35">
      <c r="A55" s="137"/>
      <c r="B55" s="126"/>
      <c r="C55" s="80" t="s">
        <v>603</v>
      </c>
      <c r="D55" s="80" t="s">
        <v>0</v>
      </c>
      <c r="E55" s="80">
        <v>0</v>
      </c>
      <c r="F55" s="80"/>
      <c r="G55" s="118"/>
      <c r="H55" s="80">
        <v>30118</v>
      </c>
      <c r="I55" s="80"/>
      <c r="J55" s="118"/>
      <c r="K55" s="72">
        <v>30663</v>
      </c>
      <c r="L55" s="72"/>
      <c r="M55" s="72"/>
      <c r="N55" s="73"/>
      <c r="O55" s="73"/>
      <c r="P55" s="118"/>
      <c r="Q55" s="109"/>
      <c r="R55" s="72"/>
      <c r="S55" s="118"/>
      <c r="T55" s="109"/>
      <c r="U55" s="72"/>
      <c r="V55" s="118"/>
      <c r="W55" s="72"/>
      <c r="X55" s="72"/>
      <c r="Y55" s="118"/>
      <c r="Z55" s="72"/>
      <c r="AA55" s="72"/>
      <c r="AB55" s="118"/>
      <c r="AC55" s="72">
        <v>43700</v>
      </c>
      <c r="AD55" s="72"/>
      <c r="AE55" s="118"/>
      <c r="AF55" s="72"/>
      <c r="AG55" s="72"/>
      <c r="AH55" s="121"/>
      <c r="AI55" s="72"/>
      <c r="AJ55" s="72"/>
      <c r="AK55" s="121"/>
      <c r="AL55" s="72"/>
      <c r="AM55" s="72"/>
      <c r="AN55" s="121"/>
      <c r="AO55" s="72"/>
      <c r="AP55" s="72"/>
      <c r="AQ55" s="118"/>
      <c r="AR55" s="70"/>
      <c r="AS55" s="89" t="s">
        <v>336</v>
      </c>
      <c r="AT55" s="90">
        <v>3</v>
      </c>
      <c r="AU55" s="90">
        <v>3.5</v>
      </c>
      <c r="AV55" s="90">
        <v>3.5</v>
      </c>
      <c r="AW55" s="90">
        <v>4</v>
      </c>
      <c r="AX55" s="90">
        <v>2</v>
      </c>
      <c r="AY55" s="90">
        <v>3</v>
      </c>
      <c r="AZ55" s="90">
        <v>4.3</v>
      </c>
      <c r="BA55" s="90">
        <v>2</v>
      </c>
      <c r="BB55" s="90">
        <v>2.2999999999999998</v>
      </c>
      <c r="BC55" s="90">
        <v>2</v>
      </c>
      <c r="BD55" s="91">
        <v>2</v>
      </c>
      <c r="BE55" s="70"/>
      <c r="BF55" s="70"/>
    </row>
    <row r="56" spans="1:58" ht="13.9" customHeight="1" x14ac:dyDescent="0.35">
      <c r="A56" s="137"/>
      <c r="B56" s="126"/>
      <c r="C56" s="80" t="s">
        <v>604</v>
      </c>
      <c r="D56" s="80" t="s">
        <v>0</v>
      </c>
      <c r="E56" s="72">
        <v>2600</v>
      </c>
      <c r="F56" s="72"/>
      <c r="G56" s="118"/>
      <c r="H56" s="80">
        <v>12065</v>
      </c>
      <c r="I56" s="80"/>
      <c r="J56" s="118"/>
      <c r="K56" s="72">
        <v>8527</v>
      </c>
      <c r="L56" s="72"/>
      <c r="M56" s="72"/>
      <c r="N56" s="72">
        <v>4705</v>
      </c>
      <c r="O56" s="72"/>
      <c r="P56" s="118"/>
      <c r="Q56" s="108">
        <v>13750</v>
      </c>
      <c r="R56" s="72"/>
      <c r="S56" s="118"/>
      <c r="T56" s="116">
        <v>7900</v>
      </c>
      <c r="U56" s="72"/>
      <c r="V56" s="118"/>
      <c r="W56" s="72">
        <v>3400</v>
      </c>
      <c r="X56" s="72"/>
      <c r="Y56" s="118"/>
      <c r="Z56" s="72"/>
      <c r="AA56" s="72"/>
      <c r="AB56" s="118"/>
      <c r="AC56" s="72">
        <v>9798</v>
      </c>
      <c r="AD56" s="72"/>
      <c r="AE56" s="118"/>
      <c r="AF56" s="72"/>
      <c r="AG56" s="72"/>
      <c r="AH56" s="121"/>
      <c r="AI56" s="72"/>
      <c r="AJ56" s="72"/>
      <c r="AK56" s="121"/>
      <c r="AL56" s="72"/>
      <c r="AM56" s="72"/>
      <c r="AN56" s="121"/>
      <c r="AO56" s="72"/>
      <c r="AP56" s="72"/>
      <c r="AQ56" s="118"/>
      <c r="AR56" s="70"/>
      <c r="AS56" s="89" t="s">
        <v>339</v>
      </c>
      <c r="AT56" s="90">
        <v>3</v>
      </c>
      <c r="AU56" s="90">
        <v>3</v>
      </c>
      <c r="AV56" s="90">
        <v>3</v>
      </c>
      <c r="AW56" s="90">
        <v>3</v>
      </c>
      <c r="AX56" s="90">
        <v>3</v>
      </c>
      <c r="AY56" s="90">
        <v>3</v>
      </c>
      <c r="AZ56" s="90">
        <v>3</v>
      </c>
      <c r="BA56" s="90">
        <v>3</v>
      </c>
      <c r="BB56" s="90">
        <v>1</v>
      </c>
      <c r="BC56" s="90">
        <v>1</v>
      </c>
      <c r="BD56" s="91">
        <v>5</v>
      </c>
      <c r="BE56" s="70"/>
      <c r="BF56" s="70"/>
    </row>
    <row r="57" spans="1:58" ht="15" customHeight="1" x14ac:dyDescent="0.35">
      <c r="A57" s="137"/>
      <c r="B57" s="126"/>
      <c r="C57" s="9" t="s">
        <v>551</v>
      </c>
      <c r="D57" s="80" t="s">
        <v>0</v>
      </c>
      <c r="E57" s="72">
        <v>7100</v>
      </c>
      <c r="F57" s="72"/>
      <c r="G57" s="125"/>
      <c r="H57" s="80">
        <v>19323</v>
      </c>
      <c r="I57" s="80"/>
      <c r="J57" s="125"/>
      <c r="K57" s="72">
        <v>19777</v>
      </c>
      <c r="L57" s="72"/>
      <c r="M57" s="72"/>
      <c r="N57" s="72">
        <v>16775</v>
      </c>
      <c r="O57" s="72"/>
      <c r="P57" s="125"/>
      <c r="Q57" s="109">
        <v>21700</v>
      </c>
      <c r="R57" s="72"/>
      <c r="S57" s="125"/>
      <c r="T57" s="109"/>
      <c r="U57" s="72"/>
      <c r="V57" s="125"/>
      <c r="W57" s="72">
        <v>14600</v>
      </c>
      <c r="X57" s="72"/>
      <c r="Y57" s="125"/>
      <c r="Z57" s="72"/>
      <c r="AA57" s="72"/>
      <c r="AB57" s="125"/>
      <c r="AC57" s="72">
        <v>18007</v>
      </c>
      <c r="AD57" s="72"/>
      <c r="AE57" s="125"/>
      <c r="AF57" s="72"/>
      <c r="AG57" s="72"/>
      <c r="AH57" s="132"/>
      <c r="AI57" s="72"/>
      <c r="AJ57" s="72"/>
      <c r="AK57" s="132"/>
      <c r="AL57" s="72"/>
      <c r="AM57" s="72"/>
      <c r="AN57" s="132"/>
      <c r="AO57" s="72"/>
      <c r="AP57" s="72"/>
      <c r="AQ57" s="125"/>
      <c r="AR57" s="70"/>
      <c r="AS57" s="89" t="s">
        <v>342</v>
      </c>
      <c r="AT57" s="90">
        <v>4</v>
      </c>
      <c r="AU57" s="90">
        <v>4</v>
      </c>
      <c r="AV57" s="90">
        <v>5</v>
      </c>
      <c r="AW57" s="90">
        <v>4</v>
      </c>
      <c r="AX57" s="90">
        <v>4</v>
      </c>
      <c r="AY57" s="90">
        <v>2</v>
      </c>
      <c r="AZ57" s="90">
        <v>2</v>
      </c>
      <c r="BA57" s="90">
        <v>1</v>
      </c>
      <c r="BB57" s="90">
        <v>3</v>
      </c>
      <c r="BC57" s="90">
        <v>3</v>
      </c>
      <c r="BD57" s="91">
        <v>2</v>
      </c>
      <c r="BE57" s="70"/>
      <c r="BF57" s="70"/>
    </row>
    <row r="58" spans="1:58" ht="13.9" customHeight="1" x14ac:dyDescent="0.35">
      <c r="A58" s="137"/>
      <c r="B58" s="127" t="s">
        <v>568</v>
      </c>
      <c r="C58" s="80" t="s">
        <v>385</v>
      </c>
      <c r="D58" s="80" t="s">
        <v>22</v>
      </c>
      <c r="E58" s="80">
        <v>1.5</v>
      </c>
      <c r="F58" s="80"/>
      <c r="G58" s="130"/>
      <c r="H58" s="80">
        <v>1.5</v>
      </c>
      <c r="I58" s="80"/>
      <c r="J58" s="130"/>
      <c r="K58" s="80">
        <v>1.5</v>
      </c>
      <c r="L58" s="80"/>
      <c r="M58" s="80"/>
      <c r="N58" s="72">
        <v>2</v>
      </c>
      <c r="O58" s="72"/>
      <c r="P58" s="122"/>
      <c r="Q58" s="72">
        <v>1.9</v>
      </c>
      <c r="R58" s="72"/>
      <c r="S58" s="122"/>
      <c r="T58" s="72">
        <v>1.5</v>
      </c>
      <c r="U58" s="72"/>
      <c r="V58" s="122"/>
      <c r="W58" s="72">
        <v>1</v>
      </c>
      <c r="X58" s="72"/>
      <c r="Y58" s="122"/>
      <c r="Z58" s="72">
        <v>2</v>
      </c>
      <c r="AA58" s="72"/>
      <c r="AB58" s="120"/>
      <c r="AC58" s="72"/>
      <c r="AD58" s="72"/>
      <c r="AE58" s="122"/>
      <c r="AF58" s="72"/>
      <c r="AG58" s="72"/>
      <c r="AH58" s="122"/>
      <c r="AI58" s="72"/>
      <c r="AJ58" s="72"/>
      <c r="AK58" s="122"/>
      <c r="AL58" s="72"/>
      <c r="AM58" s="72"/>
      <c r="AN58" s="122"/>
      <c r="AO58" s="72"/>
      <c r="AP58" s="72"/>
      <c r="AQ58" s="122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</row>
    <row r="59" spans="1:58" ht="13.9" customHeight="1" x14ac:dyDescent="0.35">
      <c r="A59" s="137"/>
      <c r="B59" s="128"/>
      <c r="C59" s="80" t="s">
        <v>565</v>
      </c>
      <c r="D59" s="80" t="s">
        <v>564</v>
      </c>
      <c r="E59" s="80">
        <v>55</v>
      </c>
      <c r="F59" s="80"/>
      <c r="G59" s="133"/>
      <c r="H59" s="80">
        <v>92</v>
      </c>
      <c r="I59" s="80"/>
      <c r="J59" s="133"/>
      <c r="K59" s="80">
        <v>92</v>
      </c>
      <c r="L59" s="80"/>
      <c r="M59" s="80"/>
      <c r="N59" s="72">
        <v>72</v>
      </c>
      <c r="O59" s="72"/>
      <c r="P59" s="118"/>
      <c r="Q59" s="72"/>
      <c r="R59" s="72"/>
      <c r="S59" s="118"/>
      <c r="T59" s="72">
        <v>47</v>
      </c>
      <c r="U59" s="72"/>
      <c r="V59" s="118"/>
      <c r="W59" s="72">
        <v>50</v>
      </c>
      <c r="X59" s="72"/>
      <c r="Y59" s="118"/>
      <c r="Z59" s="72">
        <v>55</v>
      </c>
      <c r="AA59" s="72"/>
      <c r="AB59" s="120"/>
      <c r="AC59" s="72"/>
      <c r="AD59" s="72"/>
      <c r="AE59" s="118"/>
      <c r="AF59" s="72"/>
      <c r="AG59" s="72"/>
      <c r="AH59" s="118"/>
      <c r="AI59" s="72"/>
      <c r="AJ59" s="72"/>
      <c r="AK59" s="118"/>
      <c r="AL59" s="72"/>
      <c r="AM59" s="72"/>
      <c r="AN59" s="118"/>
      <c r="AO59" s="72"/>
      <c r="AP59" s="72"/>
      <c r="AQ59" s="118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</row>
    <row r="60" spans="1:58" ht="13.9" customHeight="1" x14ac:dyDescent="0.35">
      <c r="A60" s="137"/>
      <c r="B60" s="128"/>
      <c r="C60" s="80" t="s">
        <v>566</v>
      </c>
      <c r="D60" s="80" t="s">
        <v>564</v>
      </c>
      <c r="E60" s="80">
        <v>110</v>
      </c>
      <c r="F60" s="80"/>
      <c r="G60" s="133"/>
      <c r="H60" s="80">
        <v>155</v>
      </c>
      <c r="I60" s="80"/>
      <c r="J60" s="133"/>
      <c r="K60" s="80">
        <v>170</v>
      </c>
      <c r="L60" s="80"/>
      <c r="M60" s="80"/>
      <c r="N60" s="72">
        <v>160</v>
      </c>
      <c r="O60" s="72"/>
      <c r="P60" s="118"/>
      <c r="Q60" s="72"/>
      <c r="R60" s="72"/>
      <c r="S60" s="118"/>
      <c r="T60" s="72">
        <v>125</v>
      </c>
      <c r="U60" s="72"/>
      <c r="V60" s="118"/>
      <c r="W60" s="72">
        <v>120</v>
      </c>
      <c r="X60" s="72"/>
      <c r="Y60" s="118"/>
      <c r="Z60" s="72">
        <v>110</v>
      </c>
      <c r="AA60" s="72"/>
      <c r="AB60" s="120"/>
      <c r="AC60" s="72"/>
      <c r="AD60" s="72"/>
      <c r="AE60" s="118"/>
      <c r="AF60" s="72"/>
      <c r="AG60" s="72"/>
      <c r="AH60" s="118"/>
      <c r="AI60" s="72"/>
      <c r="AJ60" s="72"/>
      <c r="AK60" s="118"/>
      <c r="AL60" s="72"/>
      <c r="AM60" s="72"/>
      <c r="AN60" s="118"/>
      <c r="AO60" s="72"/>
      <c r="AP60" s="72"/>
      <c r="AQ60" s="118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</row>
    <row r="61" spans="1:58" ht="13.9" customHeight="1" x14ac:dyDescent="0.35">
      <c r="A61" s="137"/>
      <c r="B61" s="128"/>
      <c r="C61" s="80"/>
      <c r="D61" s="80"/>
      <c r="E61" s="80"/>
      <c r="F61" s="80"/>
      <c r="G61" s="133"/>
      <c r="H61" s="80"/>
      <c r="I61" s="80"/>
      <c r="J61" s="133"/>
      <c r="K61" s="80"/>
      <c r="L61" s="80"/>
      <c r="M61" s="80"/>
      <c r="N61" s="72"/>
      <c r="O61" s="72"/>
      <c r="P61" s="118"/>
      <c r="Q61" s="72"/>
      <c r="R61" s="72"/>
      <c r="S61" s="118"/>
      <c r="T61" s="72"/>
      <c r="U61" s="72"/>
      <c r="V61" s="118"/>
      <c r="W61" s="72"/>
      <c r="X61" s="72"/>
      <c r="Y61" s="118"/>
      <c r="Z61" s="72"/>
      <c r="AA61" s="72"/>
      <c r="AB61" s="120"/>
      <c r="AC61" s="72"/>
      <c r="AD61" s="72"/>
      <c r="AE61" s="118"/>
      <c r="AF61" s="72"/>
      <c r="AG61" s="72"/>
      <c r="AH61" s="118"/>
      <c r="AI61" s="72"/>
      <c r="AJ61" s="72"/>
      <c r="AK61" s="118"/>
      <c r="AL61" s="72"/>
      <c r="AM61" s="72"/>
      <c r="AN61" s="118"/>
      <c r="AO61" s="72"/>
      <c r="AP61" s="72"/>
      <c r="AQ61" s="118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</row>
    <row r="62" spans="1:58" ht="13.9" customHeight="1" x14ac:dyDescent="0.35">
      <c r="A62" s="137"/>
      <c r="B62" s="128"/>
      <c r="C62" s="80"/>
      <c r="D62" s="80"/>
      <c r="E62" s="80"/>
      <c r="F62" s="80"/>
      <c r="G62" s="133"/>
      <c r="H62" s="80"/>
      <c r="I62" s="80"/>
      <c r="J62" s="133"/>
      <c r="K62" s="80"/>
      <c r="L62" s="80"/>
      <c r="M62" s="80"/>
      <c r="N62" s="72"/>
      <c r="O62" s="72"/>
      <c r="P62" s="118"/>
      <c r="Q62" s="72"/>
      <c r="R62" s="72"/>
      <c r="S62" s="118"/>
      <c r="T62" s="72"/>
      <c r="U62" s="72"/>
      <c r="V62" s="118"/>
      <c r="W62" s="72"/>
      <c r="X62" s="72"/>
      <c r="Y62" s="118"/>
      <c r="Z62" s="72"/>
      <c r="AA62" s="72"/>
      <c r="AB62" s="120"/>
      <c r="AC62" s="72"/>
      <c r="AD62" s="72"/>
      <c r="AE62" s="118"/>
      <c r="AF62" s="72"/>
      <c r="AG62" s="72"/>
      <c r="AH62" s="118"/>
      <c r="AI62" s="72"/>
      <c r="AJ62" s="72"/>
      <c r="AK62" s="118"/>
      <c r="AL62" s="72"/>
      <c r="AM62" s="72"/>
      <c r="AN62" s="118"/>
      <c r="AO62" s="72"/>
      <c r="AP62" s="72"/>
      <c r="AQ62" s="118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</row>
    <row r="63" spans="1:58" ht="13.9" customHeight="1" x14ac:dyDescent="0.35">
      <c r="A63" s="137"/>
      <c r="B63" s="129"/>
      <c r="C63" s="80"/>
      <c r="D63" s="80"/>
      <c r="E63" s="80"/>
      <c r="F63" s="80"/>
      <c r="G63" s="131"/>
      <c r="H63" s="80"/>
      <c r="I63" s="80"/>
      <c r="J63" s="131"/>
      <c r="K63" s="80"/>
      <c r="L63" s="80"/>
      <c r="M63" s="80"/>
      <c r="N63" s="72"/>
      <c r="O63" s="72"/>
      <c r="P63" s="125"/>
      <c r="Q63" s="73"/>
      <c r="R63" s="73"/>
      <c r="S63" s="125"/>
      <c r="T63" s="73"/>
      <c r="U63" s="73"/>
      <c r="V63" s="125"/>
      <c r="W63" s="72"/>
      <c r="X63" s="72"/>
      <c r="Y63" s="125"/>
      <c r="Z63" s="72"/>
      <c r="AA63" s="72"/>
      <c r="AB63" s="120"/>
      <c r="AC63" s="72"/>
      <c r="AD63" s="72"/>
      <c r="AE63" s="125"/>
      <c r="AF63" s="72"/>
      <c r="AG63" s="72"/>
      <c r="AH63" s="125"/>
      <c r="AI63" s="72"/>
      <c r="AJ63" s="72"/>
      <c r="AK63" s="125"/>
      <c r="AL63" s="72"/>
      <c r="AM63" s="72"/>
      <c r="AN63" s="125"/>
      <c r="AO63" s="72"/>
      <c r="AP63" s="72"/>
      <c r="AQ63" s="125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</row>
    <row r="64" spans="1:58" ht="13.9" customHeight="1" x14ac:dyDescent="0.35">
      <c r="A64" s="137"/>
      <c r="B64" s="127"/>
      <c r="C64" s="80"/>
      <c r="D64" s="80"/>
      <c r="E64" s="80"/>
      <c r="F64" s="80"/>
      <c r="G64" s="130"/>
      <c r="H64" s="80"/>
      <c r="I64" s="80"/>
      <c r="J64" s="130"/>
      <c r="K64" s="80"/>
      <c r="L64" s="80"/>
      <c r="M64" s="80"/>
      <c r="N64" s="72"/>
      <c r="O64" s="72"/>
      <c r="P64" s="122"/>
      <c r="Q64" s="102"/>
      <c r="R64" s="72"/>
      <c r="S64" s="122"/>
      <c r="T64" s="103"/>
      <c r="U64" s="72"/>
      <c r="V64" s="122"/>
      <c r="W64" s="72"/>
      <c r="X64" s="72"/>
      <c r="Y64" s="122"/>
      <c r="Z64" s="72"/>
      <c r="AA64" s="72"/>
      <c r="AB64" s="120"/>
      <c r="AC64" s="72"/>
      <c r="AD64" s="72"/>
      <c r="AE64" s="122"/>
      <c r="AF64" s="72"/>
      <c r="AG64" s="72"/>
      <c r="AH64" s="122"/>
      <c r="AI64" s="72"/>
      <c r="AJ64" s="72"/>
      <c r="AK64" s="122"/>
      <c r="AL64" s="72"/>
      <c r="AM64" s="72"/>
      <c r="AN64" s="122"/>
      <c r="AO64" s="72"/>
      <c r="AP64" s="72"/>
      <c r="AQ64" s="122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</row>
    <row r="65" spans="1:58" ht="13.9" customHeight="1" x14ac:dyDescent="0.35">
      <c r="A65" s="137"/>
      <c r="B65" s="129"/>
      <c r="C65" s="80"/>
      <c r="D65" s="80"/>
      <c r="E65" s="80"/>
      <c r="F65" s="80"/>
      <c r="G65" s="131"/>
      <c r="H65" s="80"/>
      <c r="I65" s="80"/>
      <c r="J65" s="131"/>
      <c r="K65" s="80"/>
      <c r="L65" s="80"/>
      <c r="M65" s="80"/>
      <c r="N65" s="72"/>
      <c r="O65" s="72"/>
      <c r="P65" s="125"/>
      <c r="Q65" s="102"/>
      <c r="R65" s="72"/>
      <c r="S65" s="125"/>
      <c r="T65" s="103"/>
      <c r="U65" s="72"/>
      <c r="V65" s="125"/>
      <c r="W65" s="72"/>
      <c r="X65" s="72"/>
      <c r="Y65" s="125"/>
      <c r="Z65" s="72"/>
      <c r="AA65" s="72"/>
      <c r="AB65" s="120"/>
      <c r="AC65" s="72"/>
      <c r="AD65" s="72"/>
      <c r="AE65" s="125"/>
      <c r="AF65" s="72"/>
      <c r="AG65" s="72"/>
      <c r="AH65" s="125"/>
      <c r="AI65" s="72"/>
      <c r="AJ65" s="72"/>
      <c r="AK65" s="125"/>
      <c r="AL65" s="72"/>
      <c r="AM65" s="72"/>
      <c r="AN65" s="125"/>
      <c r="AO65" s="72"/>
      <c r="AP65" s="72"/>
      <c r="AQ65" s="125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</row>
    <row r="66" spans="1:58" x14ac:dyDescent="0.35">
      <c r="A66" s="137"/>
      <c r="B66" s="127"/>
      <c r="C66" s="80"/>
      <c r="D66" s="80"/>
      <c r="E66" s="72"/>
      <c r="F66" s="72"/>
      <c r="G66" s="122"/>
      <c r="H66" s="72"/>
      <c r="I66" s="72"/>
      <c r="J66" s="122"/>
      <c r="K66" s="72"/>
      <c r="L66" s="72"/>
      <c r="M66" s="72"/>
      <c r="N66" s="72"/>
      <c r="O66" s="72"/>
      <c r="P66" s="122"/>
      <c r="Q66" s="72"/>
      <c r="R66" s="72"/>
      <c r="S66" s="122"/>
      <c r="T66" s="72"/>
      <c r="U66" s="72"/>
      <c r="V66" s="122"/>
      <c r="W66" s="72"/>
      <c r="X66" s="72"/>
      <c r="Y66" s="122"/>
      <c r="Z66" s="72"/>
      <c r="AA66" s="72"/>
      <c r="AB66" s="118"/>
      <c r="AC66" s="72"/>
      <c r="AD66" s="72"/>
      <c r="AE66" s="122"/>
      <c r="AF66" s="72"/>
      <c r="AG66" s="72"/>
      <c r="AH66" s="122"/>
      <c r="AI66" s="72"/>
      <c r="AJ66" s="72"/>
      <c r="AK66" s="122"/>
      <c r="AL66" s="72"/>
      <c r="AM66" s="72"/>
      <c r="AN66" s="122"/>
      <c r="AO66" s="72"/>
      <c r="AP66" s="72"/>
      <c r="AQ66" s="122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</row>
    <row r="67" spans="1:58" x14ac:dyDescent="0.35">
      <c r="A67" s="137"/>
      <c r="B67" s="128"/>
      <c r="C67" s="80"/>
      <c r="D67" s="80"/>
      <c r="E67" s="80"/>
      <c r="F67" s="80"/>
      <c r="G67" s="118"/>
      <c r="H67" s="80"/>
      <c r="I67" s="80"/>
      <c r="J67" s="118"/>
      <c r="K67" s="72"/>
      <c r="L67" s="72"/>
      <c r="M67" s="72"/>
      <c r="N67" s="73"/>
      <c r="O67" s="73"/>
      <c r="P67" s="118"/>
      <c r="Q67" s="72"/>
      <c r="R67" s="72"/>
      <c r="S67" s="118"/>
      <c r="T67" s="72"/>
      <c r="U67" s="72"/>
      <c r="V67" s="118"/>
      <c r="W67" s="72"/>
      <c r="X67" s="72"/>
      <c r="Y67" s="118"/>
      <c r="Z67" s="72"/>
      <c r="AA67" s="72"/>
      <c r="AB67" s="118"/>
      <c r="AC67" s="72"/>
      <c r="AD67" s="72"/>
      <c r="AE67" s="118"/>
      <c r="AF67" s="72"/>
      <c r="AG67" s="72"/>
      <c r="AH67" s="118"/>
      <c r="AI67" s="72"/>
      <c r="AJ67" s="72"/>
      <c r="AK67" s="118"/>
      <c r="AL67" s="72"/>
      <c r="AM67" s="72"/>
      <c r="AN67" s="118"/>
      <c r="AO67" s="72"/>
      <c r="AP67" s="72"/>
      <c r="AQ67" s="118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</row>
    <row r="68" spans="1:58" ht="13.9" customHeight="1" x14ac:dyDescent="0.35">
      <c r="A68" s="138"/>
      <c r="B68" s="129"/>
      <c r="C68" s="80"/>
      <c r="D68" s="80"/>
      <c r="E68" s="80"/>
      <c r="F68" s="80"/>
      <c r="G68" s="125"/>
      <c r="H68" s="80"/>
      <c r="I68" s="80"/>
      <c r="J68" s="125"/>
      <c r="K68" s="72"/>
      <c r="L68" s="72"/>
      <c r="M68" s="72"/>
      <c r="N68" s="73"/>
      <c r="O68" s="73"/>
      <c r="P68" s="125"/>
      <c r="Q68" s="72"/>
      <c r="R68" s="72"/>
      <c r="S68" s="125"/>
      <c r="T68" s="72"/>
      <c r="U68" s="72"/>
      <c r="V68" s="125"/>
      <c r="W68" s="72"/>
      <c r="X68" s="72"/>
      <c r="Y68" s="125"/>
      <c r="Z68" s="72"/>
      <c r="AA68" s="72"/>
      <c r="AB68" s="125"/>
      <c r="AC68" s="72"/>
      <c r="AD68" s="72"/>
      <c r="AE68" s="125"/>
      <c r="AF68" s="72"/>
      <c r="AG68" s="72"/>
      <c r="AH68" s="125"/>
      <c r="AI68" s="73"/>
      <c r="AJ68" s="73"/>
      <c r="AK68" s="125"/>
      <c r="AL68" s="73"/>
      <c r="AM68" s="73"/>
      <c r="AN68" s="125"/>
      <c r="AO68" s="73"/>
      <c r="AP68" s="73"/>
      <c r="AQ68" s="125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</row>
    <row r="69" spans="1:58" x14ac:dyDescent="0.35">
      <c r="A69" s="119" t="s">
        <v>388</v>
      </c>
      <c r="B69" s="126"/>
      <c r="C69" s="80"/>
      <c r="D69" s="72"/>
      <c r="E69" s="72"/>
      <c r="F69" s="72"/>
      <c r="G69" s="122"/>
      <c r="H69" s="72"/>
      <c r="I69" s="72"/>
      <c r="J69" s="122"/>
      <c r="K69" s="72"/>
      <c r="L69" s="72"/>
      <c r="M69" s="72"/>
      <c r="N69" s="72"/>
      <c r="O69" s="72"/>
      <c r="P69" s="122"/>
      <c r="Q69" s="72"/>
      <c r="R69" s="72"/>
      <c r="S69" s="122"/>
      <c r="T69" s="72"/>
      <c r="U69" s="72"/>
      <c r="V69" s="122"/>
      <c r="W69" s="72"/>
      <c r="X69" s="72"/>
      <c r="Y69" s="122"/>
      <c r="Z69" s="72"/>
      <c r="AA69" s="72"/>
      <c r="AB69" s="122"/>
      <c r="AC69" s="72"/>
      <c r="AD69" s="72"/>
      <c r="AE69" s="122"/>
      <c r="AF69" s="72"/>
      <c r="AG69" s="72"/>
      <c r="AH69" s="122"/>
      <c r="AI69" s="72"/>
      <c r="AJ69" s="72"/>
      <c r="AK69" s="122"/>
      <c r="AL69" s="72"/>
      <c r="AM69" s="72"/>
      <c r="AN69" s="122"/>
      <c r="AO69" s="72"/>
      <c r="AP69" s="72"/>
      <c r="AQ69" s="122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</row>
    <row r="70" spans="1:58" x14ac:dyDescent="0.35">
      <c r="A70" s="119"/>
      <c r="B70" s="126"/>
      <c r="C70" s="80" t="s">
        <v>571</v>
      </c>
      <c r="D70" s="72"/>
      <c r="E70" s="72"/>
      <c r="F70" s="72"/>
      <c r="G70" s="118"/>
      <c r="H70" s="72"/>
      <c r="I70" s="72"/>
      <c r="J70" s="118"/>
      <c r="K70" s="72"/>
      <c r="L70" s="72"/>
      <c r="M70" s="72"/>
      <c r="N70" s="72"/>
      <c r="O70" s="72"/>
      <c r="P70" s="118"/>
      <c r="Q70" s="72"/>
      <c r="R70" s="72"/>
      <c r="S70" s="118"/>
      <c r="T70" s="72"/>
      <c r="U70" s="72"/>
      <c r="V70" s="118"/>
      <c r="W70" s="72" t="s">
        <v>583</v>
      </c>
      <c r="X70" s="72"/>
      <c r="Y70" s="118"/>
      <c r="Z70" s="72"/>
      <c r="AA70" s="72"/>
      <c r="AB70" s="118"/>
      <c r="AC70" s="72"/>
      <c r="AD70" s="72"/>
      <c r="AE70" s="118"/>
      <c r="AF70" s="72"/>
      <c r="AG70" s="72"/>
      <c r="AH70" s="118"/>
      <c r="AI70" s="72"/>
      <c r="AJ70" s="72"/>
      <c r="AK70" s="118"/>
      <c r="AL70" s="72"/>
      <c r="AM70" s="72"/>
      <c r="AN70" s="118"/>
      <c r="AO70" s="72"/>
      <c r="AP70" s="72"/>
      <c r="AQ70" s="118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</row>
    <row r="71" spans="1:58" x14ac:dyDescent="0.35">
      <c r="A71" s="119"/>
      <c r="B71" s="126"/>
      <c r="C71" s="80" t="s">
        <v>572</v>
      </c>
      <c r="D71" s="72"/>
      <c r="E71" s="72" t="s">
        <v>583</v>
      </c>
      <c r="F71" s="72"/>
      <c r="G71" s="122"/>
      <c r="H71" s="93"/>
      <c r="I71" s="72"/>
      <c r="J71" s="122"/>
      <c r="K71" s="72"/>
      <c r="L71" s="72"/>
      <c r="M71" s="72"/>
      <c r="N71" s="93"/>
      <c r="O71" s="93"/>
      <c r="P71" s="122"/>
      <c r="Q71" s="72"/>
      <c r="R71" s="72"/>
      <c r="S71" s="122"/>
      <c r="T71" s="72"/>
      <c r="U71" s="72"/>
      <c r="V71" s="122"/>
      <c r="W71" s="72" t="s">
        <v>583</v>
      </c>
      <c r="X71" s="72"/>
      <c r="Y71" s="122"/>
      <c r="Z71" s="72"/>
      <c r="AA71" s="72"/>
      <c r="AB71" s="122"/>
      <c r="AC71" s="72"/>
      <c r="AD71" s="72"/>
      <c r="AE71" s="122"/>
      <c r="AF71" s="72"/>
      <c r="AG71" s="72"/>
      <c r="AH71" s="122"/>
      <c r="AI71" s="72"/>
      <c r="AJ71" s="72"/>
      <c r="AK71" s="122"/>
      <c r="AL71" s="72"/>
      <c r="AM71" s="72"/>
      <c r="AN71" s="122"/>
      <c r="AO71" s="72"/>
      <c r="AP71" s="72"/>
      <c r="AQ71" s="122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</row>
    <row r="72" spans="1:58" x14ac:dyDescent="0.35">
      <c r="A72" s="119"/>
      <c r="B72" s="126"/>
      <c r="C72" s="80" t="s">
        <v>574</v>
      </c>
      <c r="D72" s="72"/>
      <c r="E72" s="72"/>
      <c r="F72" s="72"/>
      <c r="G72" s="118"/>
      <c r="H72" s="72"/>
      <c r="I72" s="72"/>
      <c r="J72" s="118"/>
      <c r="K72" s="72"/>
      <c r="L72" s="72"/>
      <c r="M72" s="72"/>
      <c r="N72" s="72"/>
      <c r="O72" s="72"/>
      <c r="P72" s="118"/>
      <c r="Q72" s="72"/>
      <c r="R72" s="72"/>
      <c r="S72" s="118"/>
      <c r="T72" s="72"/>
      <c r="U72" s="72"/>
      <c r="V72" s="118"/>
      <c r="W72" s="72" t="s">
        <v>631</v>
      </c>
      <c r="X72" s="72"/>
      <c r="Y72" s="118"/>
      <c r="Z72" s="72"/>
      <c r="AA72" s="72"/>
      <c r="AB72" s="118"/>
      <c r="AC72" s="72"/>
      <c r="AD72" s="72"/>
      <c r="AE72" s="118"/>
      <c r="AF72" s="72"/>
      <c r="AG72" s="72"/>
      <c r="AH72" s="118"/>
      <c r="AI72" s="72"/>
      <c r="AJ72" s="72"/>
      <c r="AK72" s="118"/>
      <c r="AL72" s="72"/>
      <c r="AM72" s="72"/>
      <c r="AN72" s="118"/>
      <c r="AO72" s="72"/>
      <c r="AP72" s="72"/>
      <c r="AQ72" s="118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</row>
    <row r="73" spans="1:58" x14ac:dyDescent="0.35">
      <c r="A73" s="119"/>
      <c r="B73" s="126"/>
      <c r="C73" s="80" t="s">
        <v>586</v>
      </c>
      <c r="D73" s="72"/>
      <c r="E73" s="72"/>
      <c r="F73" s="72"/>
      <c r="G73" s="118"/>
      <c r="H73" s="72"/>
      <c r="I73" s="72"/>
      <c r="J73" s="118"/>
      <c r="K73" s="72"/>
      <c r="L73" s="72"/>
      <c r="M73" s="72"/>
      <c r="N73" s="72"/>
      <c r="O73" s="72"/>
      <c r="P73" s="118"/>
      <c r="Q73" s="72"/>
      <c r="R73" s="72"/>
      <c r="S73" s="118"/>
      <c r="T73" s="72" t="s">
        <v>583</v>
      </c>
      <c r="U73" s="72"/>
      <c r="V73" s="118"/>
      <c r="W73" s="72"/>
      <c r="X73" s="72"/>
      <c r="Y73" s="118"/>
      <c r="Z73" s="72"/>
      <c r="AA73" s="72"/>
      <c r="AB73" s="118"/>
      <c r="AC73" s="72"/>
      <c r="AD73" s="72"/>
      <c r="AE73" s="118"/>
      <c r="AF73" s="72"/>
      <c r="AG73" s="72"/>
      <c r="AH73" s="118"/>
      <c r="AI73" s="72"/>
      <c r="AJ73" s="72"/>
      <c r="AK73" s="118"/>
      <c r="AL73" s="72"/>
      <c r="AM73" s="72"/>
      <c r="AN73" s="118"/>
      <c r="AO73" s="72"/>
      <c r="AP73" s="72"/>
      <c r="AQ73" s="118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</row>
    <row r="74" spans="1:58" x14ac:dyDescent="0.35">
      <c r="A74" s="119"/>
      <c r="B74" s="126"/>
      <c r="C74" s="80" t="s">
        <v>600</v>
      </c>
      <c r="D74" s="72"/>
      <c r="E74" s="72"/>
      <c r="F74" s="72"/>
      <c r="G74" s="118"/>
      <c r="H74" s="72"/>
      <c r="I74" s="72"/>
      <c r="J74" s="118"/>
      <c r="K74" s="72"/>
      <c r="L74" s="72"/>
      <c r="M74" s="72"/>
      <c r="N74" s="72" t="s">
        <v>649</v>
      </c>
      <c r="O74" s="72"/>
      <c r="P74" s="118"/>
      <c r="Q74" s="72"/>
      <c r="R74" s="72"/>
      <c r="S74" s="118"/>
      <c r="T74" s="72"/>
      <c r="U74" s="72"/>
      <c r="V74" s="118"/>
      <c r="W74" s="72"/>
      <c r="X74" s="72"/>
      <c r="Y74" s="118"/>
      <c r="Z74" s="72"/>
      <c r="AA74" s="72"/>
      <c r="AB74" s="118"/>
      <c r="AC74" s="72"/>
      <c r="AD74" s="72"/>
      <c r="AE74" s="118"/>
      <c r="AF74" s="72"/>
      <c r="AG74" s="72"/>
      <c r="AH74" s="118"/>
      <c r="AI74" s="72"/>
      <c r="AJ74" s="72"/>
      <c r="AK74" s="118"/>
      <c r="AL74" s="72"/>
      <c r="AM74" s="72"/>
      <c r="AN74" s="118"/>
      <c r="AO74" s="72"/>
      <c r="AP74" s="72"/>
      <c r="AQ74" s="118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</row>
    <row r="75" spans="1:58" x14ac:dyDescent="0.35">
      <c r="A75" s="119"/>
      <c r="B75" s="126"/>
      <c r="C75" s="80" t="s">
        <v>616</v>
      </c>
      <c r="D75" s="72"/>
      <c r="E75" s="72"/>
      <c r="F75" s="72"/>
      <c r="G75" s="118"/>
      <c r="H75" s="72"/>
      <c r="I75" s="72"/>
      <c r="J75" s="118"/>
      <c r="K75" s="72"/>
      <c r="L75" s="72"/>
      <c r="M75" s="72"/>
      <c r="N75" s="72" t="s">
        <v>650</v>
      </c>
      <c r="O75" s="72"/>
      <c r="P75" s="118"/>
      <c r="Q75" s="102"/>
      <c r="R75" s="72"/>
      <c r="S75" s="118"/>
      <c r="T75" s="103"/>
      <c r="U75" s="72"/>
      <c r="V75" s="118"/>
      <c r="W75" s="72"/>
      <c r="X75" s="72"/>
      <c r="Y75" s="118"/>
      <c r="Z75" s="72"/>
      <c r="AA75" s="72"/>
      <c r="AB75" s="118"/>
      <c r="AC75" s="72"/>
      <c r="AD75" s="72"/>
      <c r="AE75" s="118"/>
      <c r="AF75" s="72"/>
      <c r="AG75" s="72"/>
      <c r="AH75" s="118"/>
      <c r="AI75" s="72"/>
      <c r="AJ75" s="72"/>
      <c r="AK75" s="118"/>
      <c r="AL75" s="72"/>
      <c r="AM75" s="72"/>
      <c r="AN75" s="118"/>
      <c r="AO75" s="72"/>
      <c r="AP75" s="72"/>
      <c r="AQ75" s="118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</row>
    <row r="76" spans="1:58" x14ac:dyDescent="0.35">
      <c r="A76" s="119"/>
      <c r="B76" s="126"/>
      <c r="C76" s="80" t="s">
        <v>618</v>
      </c>
      <c r="D76" s="72"/>
      <c r="E76" s="72"/>
      <c r="F76" s="72"/>
      <c r="G76" s="118"/>
      <c r="H76" s="72"/>
      <c r="I76" s="72"/>
      <c r="J76" s="118"/>
      <c r="K76" s="72"/>
      <c r="L76" s="72"/>
      <c r="M76" s="72"/>
      <c r="N76" s="72"/>
      <c r="O76" s="72"/>
      <c r="P76" s="118"/>
      <c r="Q76" s="72" t="s">
        <v>583</v>
      </c>
      <c r="R76" s="72"/>
      <c r="S76" s="118"/>
      <c r="T76" s="72"/>
      <c r="U76" s="72"/>
      <c r="V76" s="118"/>
      <c r="W76" s="72"/>
      <c r="X76" s="72"/>
      <c r="Y76" s="118"/>
      <c r="Z76" s="72"/>
      <c r="AA76" s="72"/>
      <c r="AB76" s="118"/>
      <c r="AC76" s="72"/>
      <c r="AD76" s="72"/>
      <c r="AE76" s="118"/>
      <c r="AF76" s="72"/>
      <c r="AG76" s="107"/>
      <c r="AH76" s="118"/>
      <c r="AI76" s="72"/>
      <c r="AJ76" s="72"/>
      <c r="AK76" s="118"/>
      <c r="AL76" s="72"/>
      <c r="AM76" s="72"/>
      <c r="AN76" s="118"/>
      <c r="AO76" s="72"/>
      <c r="AP76" s="72"/>
      <c r="AQ76" s="118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</row>
    <row r="77" spans="1:58" x14ac:dyDescent="0.35">
      <c r="A77" s="119"/>
      <c r="B77" s="126"/>
      <c r="C77" s="80" t="s">
        <v>625</v>
      </c>
      <c r="D77" s="72"/>
      <c r="E77" s="72" t="s">
        <v>583</v>
      </c>
      <c r="F77" s="72"/>
      <c r="G77" s="125"/>
      <c r="H77" s="72"/>
      <c r="I77" s="72"/>
      <c r="J77" s="125"/>
      <c r="K77" s="72"/>
      <c r="L77" s="72"/>
      <c r="M77" s="72"/>
      <c r="N77" s="72" t="s">
        <v>651</v>
      </c>
      <c r="O77" s="72"/>
      <c r="P77" s="125"/>
      <c r="Q77" s="72"/>
      <c r="R77" s="72"/>
      <c r="S77" s="125"/>
      <c r="T77" s="72"/>
      <c r="U77" s="72"/>
      <c r="V77" s="125"/>
      <c r="W77" s="73"/>
      <c r="X77" s="73"/>
      <c r="Y77" s="125"/>
      <c r="Z77" s="73"/>
      <c r="AA77" s="72"/>
      <c r="AB77" s="125"/>
      <c r="AC77" s="73"/>
      <c r="AD77" s="72"/>
      <c r="AE77" s="125"/>
      <c r="AF77" s="72"/>
      <c r="AG77" s="72"/>
      <c r="AH77" s="125"/>
      <c r="AI77" s="72"/>
      <c r="AJ77" s="72"/>
      <c r="AK77" s="125"/>
      <c r="AL77" s="72"/>
      <c r="AM77" s="72"/>
      <c r="AN77" s="125"/>
      <c r="AO77" s="72"/>
      <c r="AP77" s="72"/>
      <c r="AQ77" s="125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</row>
    <row r="78" spans="1:58" x14ac:dyDescent="0.35">
      <c r="A78" s="119"/>
      <c r="B78" s="126"/>
      <c r="C78" s="80" t="s">
        <v>657</v>
      </c>
      <c r="D78" s="72"/>
      <c r="E78" s="72"/>
      <c r="F78" s="72"/>
      <c r="G78" s="122"/>
      <c r="H78" s="72"/>
      <c r="I78" s="72"/>
      <c r="J78" s="122"/>
      <c r="K78" s="72"/>
      <c r="L78" s="72"/>
      <c r="M78" s="72"/>
      <c r="N78" s="72"/>
      <c r="O78" s="72"/>
      <c r="P78" s="122"/>
      <c r="Q78" s="72"/>
      <c r="R78" s="72"/>
      <c r="S78" s="122"/>
      <c r="T78" s="72" t="s">
        <v>583</v>
      </c>
      <c r="U78" s="72"/>
      <c r="V78" s="122"/>
      <c r="W78" s="72"/>
      <c r="X78" s="72"/>
      <c r="Y78" s="122"/>
      <c r="Z78" s="72"/>
      <c r="AA78" s="72"/>
      <c r="AB78" s="122"/>
      <c r="AC78" s="72"/>
      <c r="AD78" s="72"/>
      <c r="AE78" s="122"/>
      <c r="AF78" s="73"/>
      <c r="AG78" s="73"/>
      <c r="AH78" s="123"/>
      <c r="AI78" s="72"/>
      <c r="AJ78" s="72"/>
      <c r="AK78" s="122"/>
      <c r="AL78" s="72"/>
      <c r="AM78" s="72"/>
      <c r="AN78" s="122"/>
      <c r="AO78" s="72"/>
      <c r="AP78" s="72"/>
      <c r="AQ78" s="122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</row>
    <row r="79" spans="1:58" x14ac:dyDescent="0.35">
      <c r="A79" s="119"/>
      <c r="B79" s="126"/>
      <c r="C79" s="80"/>
      <c r="D79" s="72"/>
      <c r="E79" s="72"/>
      <c r="F79" s="72"/>
      <c r="G79" s="118"/>
      <c r="H79" s="72"/>
      <c r="I79" s="72"/>
      <c r="J79" s="118"/>
      <c r="K79" s="72"/>
      <c r="L79" s="72"/>
      <c r="M79" s="72"/>
      <c r="N79" s="93"/>
      <c r="O79" s="93"/>
      <c r="P79" s="118"/>
      <c r="Q79" s="72"/>
      <c r="R79" s="72"/>
      <c r="S79" s="118"/>
      <c r="T79" s="72"/>
      <c r="U79" s="72"/>
      <c r="V79" s="118"/>
      <c r="W79" s="72"/>
      <c r="X79" s="72"/>
      <c r="Y79" s="118"/>
      <c r="Z79" s="72"/>
      <c r="AA79" s="72"/>
      <c r="AB79" s="118"/>
      <c r="AC79" s="72"/>
      <c r="AD79" s="72"/>
      <c r="AE79" s="118"/>
      <c r="AF79" s="72"/>
      <c r="AG79" s="73"/>
      <c r="AH79" s="121"/>
      <c r="AI79" s="72"/>
      <c r="AJ79" s="72"/>
      <c r="AK79" s="118"/>
      <c r="AL79" s="72"/>
      <c r="AM79" s="72"/>
      <c r="AN79" s="118"/>
      <c r="AO79" s="72"/>
      <c r="AP79" s="72"/>
      <c r="AQ79" s="118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</row>
    <row r="80" spans="1:58" x14ac:dyDescent="0.35">
      <c r="A80" s="119"/>
      <c r="B80" s="126"/>
      <c r="C80" s="80"/>
      <c r="D80" s="72"/>
      <c r="E80" s="72"/>
      <c r="F80" s="72"/>
      <c r="G80" s="118"/>
      <c r="H80" s="72"/>
      <c r="I80" s="72"/>
      <c r="J80" s="118"/>
      <c r="K80" s="72"/>
      <c r="L80" s="72"/>
      <c r="M80" s="72"/>
      <c r="N80" s="72"/>
      <c r="O80" s="72"/>
      <c r="P80" s="118"/>
      <c r="Q80" s="72"/>
      <c r="R80" s="72"/>
      <c r="S80" s="118"/>
      <c r="T80" s="72"/>
      <c r="U80" s="72"/>
      <c r="V80" s="118"/>
      <c r="W80" s="72"/>
      <c r="X80" s="72"/>
      <c r="Y80" s="118"/>
      <c r="Z80" s="72"/>
      <c r="AA80" s="72"/>
      <c r="AB80" s="118"/>
      <c r="AC80" s="72"/>
      <c r="AD80" s="72"/>
      <c r="AE80" s="118"/>
      <c r="AF80" s="72"/>
      <c r="AG80" s="72"/>
      <c r="AH80" s="121"/>
      <c r="AI80" s="72"/>
      <c r="AJ80" s="72"/>
      <c r="AK80" s="118"/>
      <c r="AL80" s="72"/>
      <c r="AM80" s="72"/>
      <c r="AN80" s="118"/>
      <c r="AO80" s="72"/>
      <c r="AP80" s="72"/>
      <c r="AQ80" s="118"/>
      <c r="AR80" s="70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70"/>
      <c r="BF80" s="70"/>
    </row>
    <row r="81" spans="1:58" x14ac:dyDescent="0.35">
      <c r="A81" s="119"/>
      <c r="B81" s="126"/>
      <c r="C81" s="80"/>
      <c r="D81" s="72"/>
      <c r="E81" s="72"/>
      <c r="F81" s="72"/>
      <c r="G81" s="118"/>
      <c r="H81" s="72"/>
      <c r="I81" s="72"/>
      <c r="J81" s="118"/>
      <c r="K81" s="72"/>
      <c r="L81" s="72"/>
      <c r="M81" s="72"/>
      <c r="N81" s="72"/>
      <c r="O81" s="72"/>
      <c r="P81" s="118"/>
      <c r="Q81" s="72"/>
      <c r="R81" s="72"/>
      <c r="S81" s="118"/>
      <c r="T81" s="72"/>
      <c r="U81" s="72"/>
      <c r="V81" s="118"/>
      <c r="W81" s="72"/>
      <c r="X81" s="72"/>
      <c r="Y81" s="118"/>
      <c r="Z81" s="72"/>
      <c r="AA81" s="72"/>
      <c r="AB81" s="118"/>
      <c r="AC81" s="72"/>
      <c r="AD81" s="72"/>
      <c r="AE81" s="118"/>
      <c r="AF81" s="72"/>
      <c r="AG81" s="72"/>
      <c r="AH81" s="121"/>
      <c r="AI81" s="72"/>
      <c r="AJ81" s="72"/>
      <c r="AK81" s="118"/>
      <c r="AL81" s="72"/>
      <c r="AM81" s="72"/>
      <c r="AN81" s="118"/>
      <c r="AO81" s="72"/>
      <c r="AP81" s="72"/>
      <c r="AQ81" s="118"/>
      <c r="AR81" s="70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70"/>
      <c r="BF81" s="70"/>
    </row>
    <row r="82" spans="1:58" x14ac:dyDescent="0.35">
      <c r="A82" s="119"/>
      <c r="B82" s="126"/>
      <c r="C82" s="80"/>
      <c r="D82" s="72"/>
      <c r="E82" s="72"/>
      <c r="F82" s="72"/>
      <c r="G82" s="118"/>
      <c r="H82" s="72"/>
      <c r="I82" s="72"/>
      <c r="J82" s="118"/>
      <c r="K82" s="72"/>
      <c r="L82" s="72"/>
      <c r="M82" s="72"/>
      <c r="N82" s="72"/>
      <c r="O82" s="72"/>
      <c r="P82" s="118"/>
      <c r="Q82" s="72"/>
      <c r="R82" s="72"/>
      <c r="S82" s="118"/>
      <c r="T82" s="72"/>
      <c r="U82" s="72"/>
      <c r="V82" s="118"/>
      <c r="W82" s="72"/>
      <c r="X82" s="72"/>
      <c r="Y82" s="118"/>
      <c r="Z82" s="72"/>
      <c r="AA82" s="72"/>
      <c r="AB82" s="118"/>
      <c r="AC82" s="72"/>
      <c r="AD82" s="72"/>
      <c r="AE82" s="118"/>
      <c r="AF82" s="72"/>
      <c r="AG82" s="72"/>
      <c r="AH82" s="121"/>
      <c r="AI82" s="72"/>
      <c r="AJ82" s="72"/>
      <c r="AK82" s="118"/>
      <c r="AL82" s="72"/>
      <c r="AM82" s="72"/>
      <c r="AN82" s="118"/>
      <c r="AO82" s="72"/>
      <c r="AP82" s="72"/>
      <c r="AQ82" s="118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</row>
    <row r="83" spans="1:58" x14ac:dyDescent="0.35">
      <c r="A83" s="119"/>
      <c r="B83" s="126"/>
      <c r="C83" s="80"/>
      <c r="D83" s="72"/>
      <c r="E83" s="72"/>
      <c r="F83" s="72"/>
      <c r="G83" s="118"/>
      <c r="H83" s="72"/>
      <c r="I83" s="72"/>
      <c r="J83" s="118"/>
      <c r="K83" s="72"/>
      <c r="L83" s="72"/>
      <c r="M83" s="72"/>
      <c r="N83" s="72"/>
      <c r="O83" s="72"/>
      <c r="P83" s="118"/>
      <c r="Q83" s="72"/>
      <c r="R83" s="72"/>
      <c r="S83" s="118"/>
      <c r="T83" s="72"/>
      <c r="U83" s="72"/>
      <c r="V83" s="118"/>
      <c r="W83" s="72"/>
      <c r="X83" s="72"/>
      <c r="Y83" s="118"/>
      <c r="Z83" s="72"/>
      <c r="AA83" s="72"/>
      <c r="AB83" s="118"/>
      <c r="AC83" s="72"/>
      <c r="AD83" s="72"/>
      <c r="AE83" s="118"/>
      <c r="AF83" s="72"/>
      <c r="AG83" s="72"/>
      <c r="AH83" s="121"/>
      <c r="AI83" s="72"/>
      <c r="AJ83" s="72"/>
      <c r="AK83" s="118"/>
      <c r="AL83" s="72"/>
      <c r="AM83" s="72"/>
      <c r="AN83" s="118"/>
      <c r="AO83" s="72"/>
      <c r="AP83" s="72"/>
      <c r="AQ83" s="118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</row>
    <row r="84" spans="1:58" x14ac:dyDescent="0.35">
      <c r="A84" s="119"/>
      <c r="B84" s="126"/>
      <c r="C84" s="80"/>
      <c r="D84" s="72"/>
      <c r="E84" s="72"/>
      <c r="F84" s="72"/>
      <c r="G84" s="118"/>
      <c r="H84" s="72"/>
      <c r="I84" s="72"/>
      <c r="J84" s="118"/>
      <c r="K84" s="72"/>
      <c r="L84" s="72"/>
      <c r="M84" s="72"/>
      <c r="N84" s="73"/>
      <c r="O84" s="72"/>
      <c r="P84" s="118"/>
      <c r="Q84" s="72"/>
      <c r="R84" s="72"/>
      <c r="S84" s="118"/>
      <c r="T84" s="72"/>
      <c r="U84" s="72"/>
      <c r="V84" s="118"/>
      <c r="W84" s="72"/>
      <c r="X84" s="72"/>
      <c r="Y84" s="118"/>
      <c r="Z84" s="72"/>
      <c r="AA84" s="72"/>
      <c r="AB84" s="118"/>
      <c r="AC84" s="72"/>
      <c r="AD84" s="72"/>
      <c r="AE84" s="118"/>
      <c r="AF84" s="72"/>
      <c r="AG84" s="72"/>
      <c r="AH84" s="121"/>
      <c r="AI84" s="72"/>
      <c r="AJ84" s="72"/>
      <c r="AK84" s="118"/>
      <c r="AL84" s="72"/>
      <c r="AM84" s="72"/>
      <c r="AN84" s="118"/>
      <c r="AO84" s="72"/>
      <c r="AP84" s="72"/>
      <c r="AQ84" s="118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</row>
    <row r="85" spans="1:58" x14ac:dyDescent="0.35">
      <c r="A85" s="119"/>
      <c r="B85" s="126"/>
      <c r="C85" s="80"/>
      <c r="D85" s="72"/>
      <c r="E85" s="72"/>
      <c r="F85" s="72"/>
      <c r="G85" s="118"/>
      <c r="H85" s="72"/>
      <c r="I85" s="72"/>
      <c r="J85" s="118"/>
      <c r="K85" s="72"/>
      <c r="L85" s="72"/>
      <c r="M85" s="72"/>
      <c r="N85" s="72"/>
      <c r="O85" s="73"/>
      <c r="P85" s="118"/>
      <c r="Q85" s="72"/>
      <c r="R85" s="72"/>
      <c r="S85" s="118"/>
      <c r="T85" s="72"/>
      <c r="U85" s="72"/>
      <c r="V85" s="118"/>
      <c r="W85" s="72"/>
      <c r="X85" s="72"/>
      <c r="Y85" s="118"/>
      <c r="Z85" s="72"/>
      <c r="AA85" s="72"/>
      <c r="AB85" s="118"/>
      <c r="AC85" s="72"/>
      <c r="AD85" s="72"/>
      <c r="AE85" s="118"/>
      <c r="AF85" s="72"/>
      <c r="AG85" s="72"/>
      <c r="AH85" s="121"/>
      <c r="AI85" s="72"/>
      <c r="AJ85" s="72"/>
      <c r="AK85" s="118"/>
      <c r="AL85" s="72"/>
      <c r="AM85" s="72"/>
      <c r="AN85" s="118"/>
      <c r="AO85" s="72"/>
      <c r="AP85" s="72"/>
      <c r="AQ85" s="118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</row>
    <row r="86" spans="1:58" ht="17.25" thickBot="1" x14ac:dyDescent="0.4">
      <c r="A86" s="119"/>
      <c r="B86" s="124"/>
      <c r="C86" s="80"/>
      <c r="D86" s="72"/>
      <c r="E86" s="72"/>
      <c r="F86" s="72"/>
      <c r="G86" s="121"/>
      <c r="H86" s="72"/>
      <c r="I86" s="72"/>
      <c r="J86" s="121"/>
      <c r="K86" s="73"/>
      <c r="L86" s="73"/>
      <c r="M86" s="73"/>
      <c r="N86" s="72"/>
      <c r="O86" s="72"/>
      <c r="P86" s="121"/>
      <c r="Q86" s="72"/>
      <c r="R86" s="72"/>
      <c r="S86" s="121"/>
      <c r="T86" s="72"/>
      <c r="U86" s="72"/>
      <c r="V86" s="121"/>
      <c r="W86" s="72"/>
      <c r="X86" s="72"/>
      <c r="Y86" s="118"/>
      <c r="Z86" s="72"/>
      <c r="AA86" s="72"/>
      <c r="AB86" s="121"/>
      <c r="AC86" s="72"/>
      <c r="AD86" s="72"/>
      <c r="AE86" s="121"/>
      <c r="AF86" s="72"/>
      <c r="AG86" s="72"/>
      <c r="AH86" s="121"/>
      <c r="AI86" s="72"/>
      <c r="AJ86" s="72"/>
      <c r="AK86" s="121"/>
      <c r="AL86" s="72"/>
      <c r="AM86" s="72"/>
      <c r="AN86" s="121"/>
      <c r="AO86" s="72"/>
      <c r="AP86" s="72"/>
      <c r="AQ86" s="118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</row>
    <row r="87" spans="1:58" ht="30" x14ac:dyDescent="0.35">
      <c r="A87" s="119"/>
      <c r="B87" s="124"/>
      <c r="C87" s="80"/>
      <c r="D87" s="72"/>
      <c r="E87" s="72"/>
      <c r="F87" s="72"/>
      <c r="G87" s="121"/>
      <c r="H87" s="72"/>
      <c r="I87" s="72"/>
      <c r="J87" s="121"/>
      <c r="K87" s="73"/>
      <c r="L87" s="73"/>
      <c r="M87" s="73"/>
      <c r="N87" s="72"/>
      <c r="O87" s="72"/>
      <c r="P87" s="121"/>
      <c r="Q87" s="72"/>
      <c r="R87" s="72"/>
      <c r="S87" s="121"/>
      <c r="T87" s="72"/>
      <c r="U87" s="72"/>
      <c r="V87" s="121"/>
      <c r="W87" s="72"/>
      <c r="X87" s="72"/>
      <c r="Y87" s="118"/>
      <c r="Z87" s="72"/>
      <c r="AA87" s="72"/>
      <c r="AB87" s="121"/>
      <c r="AC87" s="72"/>
      <c r="AD87" s="72"/>
      <c r="AE87" s="121"/>
      <c r="AF87" s="72"/>
      <c r="AG87" s="72"/>
      <c r="AH87" s="121"/>
      <c r="AI87" s="72"/>
      <c r="AJ87" s="72"/>
      <c r="AK87" s="121"/>
      <c r="AL87" s="72"/>
      <c r="AM87" s="72"/>
      <c r="AN87" s="121"/>
      <c r="AO87" s="72"/>
      <c r="AP87" s="72"/>
      <c r="AQ87" s="118"/>
      <c r="AR87" s="70"/>
      <c r="AS87" s="94"/>
      <c r="AT87" s="87" t="s">
        <v>4</v>
      </c>
      <c r="AU87" s="87" t="s">
        <v>5</v>
      </c>
      <c r="AV87" s="87" t="s">
        <v>6</v>
      </c>
      <c r="AW87" s="87" t="s">
        <v>7</v>
      </c>
      <c r="AX87" s="87" t="s">
        <v>8</v>
      </c>
      <c r="AY87" s="87" t="s">
        <v>9</v>
      </c>
      <c r="AZ87" s="87" t="s">
        <v>10</v>
      </c>
      <c r="BA87" s="87" t="s">
        <v>11</v>
      </c>
      <c r="BB87" s="87" t="s">
        <v>12</v>
      </c>
      <c r="BC87" s="87" t="s">
        <v>13</v>
      </c>
      <c r="BD87" s="88" t="s">
        <v>14</v>
      </c>
      <c r="BE87" s="70"/>
      <c r="BF87" s="70"/>
    </row>
    <row r="88" spans="1:58" x14ac:dyDescent="0.35">
      <c r="A88" s="119"/>
      <c r="B88" s="124"/>
      <c r="C88" s="80"/>
      <c r="D88" s="72"/>
      <c r="E88" s="72"/>
      <c r="F88" s="72"/>
      <c r="G88" s="121"/>
      <c r="H88" s="72"/>
      <c r="I88" s="72"/>
      <c r="J88" s="121"/>
      <c r="K88" s="73"/>
      <c r="L88" s="73"/>
      <c r="M88" s="73"/>
      <c r="N88" s="72"/>
      <c r="O88" s="72"/>
      <c r="P88" s="121"/>
      <c r="Q88" s="72"/>
      <c r="R88" s="72"/>
      <c r="S88" s="121"/>
      <c r="T88" s="72"/>
      <c r="U88" s="72"/>
      <c r="V88" s="121"/>
      <c r="W88" s="72"/>
      <c r="X88" s="72"/>
      <c r="Y88" s="118"/>
      <c r="Z88" s="72"/>
      <c r="AA88" s="72"/>
      <c r="AB88" s="121"/>
      <c r="AC88" s="72"/>
      <c r="AD88" s="72"/>
      <c r="AE88" s="121"/>
      <c r="AF88" s="72"/>
      <c r="AG88" s="72"/>
      <c r="AH88" s="121"/>
      <c r="AI88" s="72"/>
      <c r="AJ88" s="72"/>
      <c r="AK88" s="121"/>
      <c r="AL88" s="72"/>
      <c r="AM88" s="72"/>
      <c r="AN88" s="121"/>
      <c r="AO88" s="72"/>
      <c r="AP88" s="72"/>
      <c r="AQ88" s="118"/>
      <c r="AR88" s="70"/>
      <c r="AS88" s="89" t="s">
        <v>350</v>
      </c>
      <c r="AT88" s="70">
        <v>0</v>
      </c>
      <c r="AU88" s="70">
        <v>3</v>
      </c>
      <c r="AV88" s="70">
        <v>3</v>
      </c>
      <c r="AW88" s="70">
        <v>0</v>
      </c>
      <c r="AX88" s="70">
        <v>0.5</v>
      </c>
      <c r="AY88" s="70">
        <v>1.5</v>
      </c>
      <c r="AZ88" s="70">
        <v>1.5</v>
      </c>
      <c r="BA88" s="70">
        <v>1</v>
      </c>
      <c r="BB88" s="70">
        <v>0</v>
      </c>
      <c r="BC88" s="70">
        <v>0</v>
      </c>
      <c r="BD88" s="95">
        <v>1.5</v>
      </c>
      <c r="BE88" s="70"/>
      <c r="BF88" s="70"/>
    </row>
    <row r="89" spans="1:58" x14ac:dyDescent="0.35">
      <c r="A89" s="119"/>
      <c r="B89" s="120"/>
      <c r="C89" s="80"/>
      <c r="D89" s="72"/>
      <c r="E89" s="73"/>
      <c r="F89" s="72"/>
      <c r="G89" s="118"/>
      <c r="H89" s="73"/>
      <c r="I89" s="72"/>
      <c r="J89" s="118"/>
      <c r="K89" s="72"/>
      <c r="L89" s="72"/>
      <c r="M89" s="72"/>
      <c r="N89" s="73"/>
      <c r="O89" s="73"/>
      <c r="P89" s="118"/>
      <c r="Q89" s="110"/>
      <c r="R89" s="73"/>
      <c r="S89" s="118"/>
      <c r="T89" s="111"/>
      <c r="U89" s="73"/>
      <c r="V89" s="118"/>
      <c r="W89" s="73"/>
      <c r="X89" s="73"/>
      <c r="Y89" s="118"/>
      <c r="Z89" s="72"/>
      <c r="AA89" s="72"/>
      <c r="AB89" s="118"/>
      <c r="AC89" s="72"/>
      <c r="AD89" s="72"/>
      <c r="AE89" s="118"/>
      <c r="AF89" s="73"/>
      <c r="AG89" s="73"/>
      <c r="AH89" s="118"/>
      <c r="AI89" s="72"/>
      <c r="AJ89" s="73"/>
      <c r="AK89" s="118"/>
      <c r="AL89" s="73"/>
      <c r="AM89" s="73"/>
      <c r="AN89" s="118"/>
      <c r="AO89" s="72"/>
      <c r="AP89" s="72"/>
      <c r="AQ89" s="118"/>
      <c r="AR89" s="70"/>
      <c r="AS89" s="89" t="s">
        <v>333</v>
      </c>
      <c r="AT89" s="70">
        <v>0.6</v>
      </c>
      <c r="AU89" s="70">
        <v>2</v>
      </c>
      <c r="AV89" s="70">
        <v>2</v>
      </c>
      <c r="AW89" s="70">
        <v>0.6</v>
      </c>
      <c r="AX89" s="70">
        <v>0.6</v>
      </c>
      <c r="AY89" s="70">
        <v>1.3</v>
      </c>
      <c r="AZ89" s="70">
        <v>0.9</v>
      </c>
      <c r="BA89" s="70">
        <v>0.7</v>
      </c>
      <c r="BB89" s="70">
        <v>1.7</v>
      </c>
      <c r="BC89" s="70">
        <v>0.4</v>
      </c>
      <c r="BD89" s="95">
        <v>1.3</v>
      </c>
      <c r="BE89" s="70"/>
      <c r="BF89" s="70"/>
    </row>
    <row r="90" spans="1:58" x14ac:dyDescent="0.35">
      <c r="A90" s="119"/>
      <c r="B90" s="120"/>
      <c r="C90" s="80"/>
      <c r="D90" s="72"/>
      <c r="E90" s="72"/>
      <c r="F90" s="72"/>
      <c r="G90" s="118"/>
      <c r="H90" s="73"/>
      <c r="I90" s="72"/>
      <c r="J90" s="118"/>
      <c r="K90" s="72"/>
      <c r="L90" s="72"/>
      <c r="M90" s="72"/>
      <c r="N90" s="72"/>
      <c r="O90" s="72"/>
      <c r="P90" s="118"/>
      <c r="Q90" s="72"/>
      <c r="R90" s="72"/>
      <c r="S90" s="118"/>
      <c r="T90" s="72"/>
      <c r="U90" s="72"/>
      <c r="V90" s="118"/>
      <c r="W90" s="72"/>
      <c r="X90" s="72"/>
      <c r="Y90" s="118"/>
      <c r="Z90" s="72"/>
      <c r="AA90" s="72"/>
      <c r="AB90" s="118"/>
      <c r="AC90" s="72"/>
      <c r="AD90" s="72"/>
      <c r="AE90" s="118"/>
      <c r="AF90" s="72"/>
      <c r="AG90" s="72"/>
      <c r="AH90" s="118"/>
      <c r="AI90" s="72"/>
      <c r="AJ90" s="72"/>
      <c r="AK90" s="118"/>
      <c r="AL90" s="72"/>
      <c r="AM90" s="72"/>
      <c r="AN90" s="118"/>
      <c r="AO90" s="72"/>
      <c r="AP90" s="72"/>
      <c r="AQ90" s="118"/>
      <c r="AR90" s="70"/>
      <c r="AS90" s="89" t="s">
        <v>355</v>
      </c>
      <c r="AT90" s="70">
        <v>0</v>
      </c>
      <c r="AU90" s="70">
        <v>0.8</v>
      </c>
      <c r="AV90" s="70">
        <v>2.5</v>
      </c>
      <c r="AW90" s="70">
        <v>0.4</v>
      </c>
      <c r="AX90" s="70">
        <v>0.4</v>
      </c>
      <c r="AY90" s="70">
        <v>1.3</v>
      </c>
      <c r="AZ90" s="70">
        <v>1</v>
      </c>
      <c r="BA90" s="70">
        <v>1.1000000000000001</v>
      </c>
      <c r="BB90" s="70">
        <v>0.4</v>
      </c>
      <c r="BC90" s="70">
        <v>0</v>
      </c>
      <c r="BD90" s="95">
        <v>0.4</v>
      </c>
      <c r="BE90" s="70"/>
      <c r="BF90" s="70"/>
    </row>
    <row r="91" spans="1:58" x14ac:dyDescent="0.35">
      <c r="A91" s="119"/>
      <c r="B91" s="120"/>
      <c r="C91" s="80"/>
      <c r="D91" s="72"/>
      <c r="E91" s="72"/>
      <c r="F91" s="72"/>
      <c r="G91" s="118"/>
      <c r="H91" s="72"/>
      <c r="I91" s="72"/>
      <c r="J91" s="118"/>
      <c r="K91" s="72"/>
      <c r="L91" s="72"/>
      <c r="M91" s="72"/>
      <c r="N91" s="73"/>
      <c r="O91" s="73"/>
      <c r="P91" s="118"/>
      <c r="Q91" s="110"/>
      <c r="R91" s="73"/>
      <c r="S91" s="118"/>
      <c r="T91" s="111"/>
      <c r="U91" s="73"/>
      <c r="V91" s="118"/>
      <c r="W91" s="72"/>
      <c r="X91" s="72"/>
      <c r="Y91" s="118"/>
      <c r="Z91" s="72"/>
      <c r="AA91" s="72"/>
      <c r="AB91" s="118"/>
      <c r="AC91" s="72"/>
      <c r="AD91" s="72"/>
      <c r="AE91" s="118"/>
      <c r="AF91" s="72"/>
      <c r="AG91" s="72"/>
      <c r="AH91" s="118"/>
      <c r="AI91" s="72"/>
      <c r="AJ91" s="72"/>
      <c r="AK91" s="118"/>
      <c r="AL91" s="72"/>
      <c r="AM91" s="72"/>
      <c r="AN91" s="118"/>
      <c r="AO91" s="72"/>
      <c r="AP91" s="72"/>
      <c r="AQ91" s="118"/>
      <c r="AR91" s="70"/>
      <c r="AS91" s="89" t="s">
        <v>24</v>
      </c>
      <c r="AT91" s="70">
        <v>2</v>
      </c>
      <c r="AU91" s="70">
        <v>0.7</v>
      </c>
      <c r="AV91" s="70">
        <v>0.7</v>
      </c>
      <c r="AW91" s="70">
        <v>0.3</v>
      </c>
      <c r="AX91" s="70">
        <v>0</v>
      </c>
      <c r="AY91" s="70">
        <v>1.3</v>
      </c>
      <c r="AZ91" s="70">
        <v>0.3</v>
      </c>
      <c r="BA91" s="70">
        <v>0.7</v>
      </c>
      <c r="BB91" s="70">
        <v>2.2999999999999998</v>
      </c>
      <c r="BC91" s="70">
        <v>1</v>
      </c>
      <c r="BD91" s="95">
        <v>2</v>
      </c>
      <c r="BE91" s="70"/>
      <c r="BF91" s="70"/>
    </row>
    <row r="92" spans="1:58" ht="17.25" thickBot="1" x14ac:dyDescent="0.4">
      <c r="A92" s="119" t="s">
        <v>408</v>
      </c>
      <c r="B92" s="80" t="s">
        <v>409</v>
      </c>
      <c r="C92" s="80"/>
      <c r="D92" s="72" t="s">
        <v>2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0"/>
      <c r="AS92" s="96" t="s">
        <v>361</v>
      </c>
      <c r="AT92" s="97">
        <v>0.3</v>
      </c>
      <c r="AU92" s="97">
        <v>1.7</v>
      </c>
      <c r="AV92" s="97">
        <v>1.3</v>
      </c>
      <c r="AW92" s="97">
        <v>0.7</v>
      </c>
      <c r="AX92" s="97">
        <v>1.3</v>
      </c>
      <c r="AY92" s="97">
        <v>1</v>
      </c>
      <c r="AZ92" s="97">
        <v>1</v>
      </c>
      <c r="BA92" s="97">
        <v>0.7</v>
      </c>
      <c r="BB92" s="97">
        <v>2</v>
      </c>
      <c r="BC92" s="97">
        <v>0.3</v>
      </c>
      <c r="BD92" s="98">
        <v>0</v>
      </c>
      <c r="BE92" s="70"/>
      <c r="BF92" s="70"/>
    </row>
    <row r="93" spans="1:58" x14ac:dyDescent="0.35">
      <c r="A93" s="119"/>
      <c r="B93" s="80" t="s">
        <v>410</v>
      </c>
      <c r="C93" s="80"/>
      <c r="D93" s="72" t="s">
        <v>2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0"/>
      <c r="AS93" s="92" t="s">
        <v>382</v>
      </c>
      <c r="AT93" s="92">
        <v>0.57999999999999996</v>
      </c>
      <c r="AU93" s="92">
        <v>1.64</v>
      </c>
      <c r="AV93" s="92">
        <v>1.9</v>
      </c>
      <c r="AW93" s="92">
        <v>0.4</v>
      </c>
      <c r="AX93" s="92">
        <v>0.56000000000000005</v>
      </c>
      <c r="AY93" s="92">
        <v>1.28</v>
      </c>
      <c r="AZ93" s="92">
        <v>0.94</v>
      </c>
      <c r="BA93" s="92">
        <v>0.84</v>
      </c>
      <c r="BB93" s="92">
        <v>1.28</v>
      </c>
      <c r="BC93" s="92">
        <v>0.34</v>
      </c>
      <c r="BD93" s="92">
        <v>1.04</v>
      </c>
      <c r="BE93" s="70"/>
      <c r="BF93" s="70"/>
    </row>
    <row r="94" spans="1:58" ht="30" x14ac:dyDescent="0.35">
      <c r="A94" s="119"/>
      <c r="B94" s="80" t="s">
        <v>411</v>
      </c>
      <c r="C94" s="80"/>
      <c r="D94" s="72" t="s">
        <v>2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</row>
    <row r="95" spans="1:58" x14ac:dyDescent="0.35">
      <c r="A95" s="119"/>
      <c r="B95" s="80" t="s">
        <v>412</v>
      </c>
      <c r="C95" s="80"/>
      <c r="D95" s="72" t="s">
        <v>2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</row>
    <row r="96" spans="1:58" x14ac:dyDescent="0.35">
      <c r="A96" s="119"/>
      <c r="B96" s="80" t="s">
        <v>413</v>
      </c>
      <c r="C96" s="80"/>
      <c r="D96" s="72" t="s">
        <v>2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</row>
    <row r="97" spans="1:58" x14ac:dyDescent="0.35">
      <c r="A97" s="119"/>
      <c r="B97" s="80" t="s">
        <v>414</v>
      </c>
      <c r="C97" s="80"/>
      <c r="D97" s="72" t="s">
        <v>2</v>
      </c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</row>
    <row r="98" spans="1:58" x14ac:dyDescent="0.35">
      <c r="A98" s="70"/>
      <c r="B98" s="70"/>
      <c r="C98" s="70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</row>
    <row r="99" spans="1:58" x14ac:dyDescent="0.35">
      <c r="A99" s="70"/>
      <c r="B99" s="70"/>
      <c r="C99" s="70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</row>
    <row r="100" spans="1:58" x14ac:dyDescent="0.35">
      <c r="A100" s="70"/>
      <c r="B100" s="70"/>
      <c r="C100" s="70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</row>
    <row r="101" spans="1:58" x14ac:dyDescent="0.35">
      <c r="A101" s="70" t="s">
        <v>639</v>
      </c>
      <c r="B101" s="112">
        <v>46218</v>
      </c>
      <c r="C101" s="70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</row>
    <row r="102" spans="1:58" x14ac:dyDescent="0.35">
      <c r="A102" s="70"/>
      <c r="B102" s="70"/>
      <c r="C102" s="70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</row>
    <row r="103" spans="1:58" x14ac:dyDescent="0.35">
      <c r="A103" s="70"/>
      <c r="B103" s="70"/>
      <c r="C103" s="70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</row>
    <row r="104" spans="1:58" x14ac:dyDescent="0.35">
      <c r="A104" s="70"/>
      <c r="B104" s="70"/>
      <c r="C104" s="70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</row>
    <row r="105" spans="1:58" x14ac:dyDescent="0.35">
      <c r="A105" s="70"/>
      <c r="B105" s="70"/>
      <c r="C105" s="70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</row>
    <row r="106" spans="1:58" x14ac:dyDescent="0.35">
      <c r="A106" s="70"/>
      <c r="B106" s="70"/>
      <c r="C106" s="70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</row>
    <row r="107" spans="1:58" x14ac:dyDescent="0.35">
      <c r="A107" s="70"/>
      <c r="B107" s="70"/>
      <c r="C107" s="70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</row>
    <row r="108" spans="1:58" x14ac:dyDescent="0.35">
      <c r="A108" s="70"/>
      <c r="B108" s="70"/>
      <c r="C108" s="70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</row>
    <row r="109" spans="1:58" x14ac:dyDescent="0.35">
      <c r="A109" s="70"/>
      <c r="B109" s="70"/>
      <c r="C109" s="70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</row>
    <row r="110" spans="1:58" x14ac:dyDescent="0.35">
      <c r="A110" s="70"/>
      <c r="B110" s="70"/>
      <c r="C110" s="70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</row>
    <row r="111" spans="1:58" x14ac:dyDescent="0.35">
      <c r="A111" s="70"/>
      <c r="B111" s="70"/>
      <c r="C111" s="70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</row>
    <row r="112" spans="1:58" x14ac:dyDescent="0.35">
      <c r="A112" s="70"/>
      <c r="B112" s="70"/>
      <c r="C112" s="70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  <c r="BD112" s="70"/>
      <c r="BE112" s="70"/>
      <c r="BF112" s="70"/>
    </row>
    <row r="113" spans="1:58" x14ac:dyDescent="0.35">
      <c r="A113" s="70"/>
      <c r="B113" s="70"/>
      <c r="C113" s="70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</row>
    <row r="114" spans="1:58" x14ac:dyDescent="0.35">
      <c r="A114" s="70"/>
      <c r="B114" s="70"/>
      <c r="C114" s="70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</row>
    <row r="115" spans="1:58" x14ac:dyDescent="0.35">
      <c r="A115" s="70"/>
      <c r="B115" s="70"/>
      <c r="C115" s="70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</row>
    <row r="116" spans="1:58" x14ac:dyDescent="0.35">
      <c r="A116" s="70"/>
      <c r="B116" s="70"/>
      <c r="C116" s="70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</row>
    <row r="117" spans="1:58" x14ac:dyDescent="0.35">
      <c r="A117" s="70"/>
      <c r="B117" s="70"/>
      <c r="C117" s="70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  <c r="BD117" s="70"/>
      <c r="BE117" s="70"/>
      <c r="BF117" s="70"/>
    </row>
    <row r="118" spans="1:58" x14ac:dyDescent="0.35">
      <c r="A118" s="70"/>
      <c r="B118" s="70"/>
      <c r="C118" s="70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  <c r="BD118" s="70"/>
      <c r="BE118" s="70"/>
      <c r="BF118" s="70"/>
    </row>
    <row r="119" spans="1:58" x14ac:dyDescent="0.35">
      <c r="A119" s="70"/>
      <c r="B119" s="70"/>
      <c r="C119" s="70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  <c r="BD119" s="70"/>
      <c r="BE119" s="70"/>
      <c r="BF119" s="70"/>
    </row>
    <row r="120" spans="1:58" x14ac:dyDescent="0.35">
      <c r="A120" s="70"/>
      <c r="B120" s="70"/>
      <c r="C120" s="70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</row>
    <row r="121" spans="1:58" x14ac:dyDescent="0.35">
      <c r="A121" s="70"/>
      <c r="B121" s="70"/>
      <c r="C121" s="70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</row>
    <row r="122" spans="1:58" x14ac:dyDescent="0.35">
      <c r="A122" s="70"/>
      <c r="B122" s="70"/>
      <c r="C122" s="70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  <c r="BD122" s="70"/>
      <c r="BE122" s="70"/>
      <c r="BF122" s="70"/>
    </row>
    <row r="123" spans="1:58" x14ac:dyDescent="0.35">
      <c r="A123" s="70"/>
      <c r="B123" s="70"/>
      <c r="C123" s="70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</row>
    <row r="124" spans="1:58" x14ac:dyDescent="0.35">
      <c r="A124" s="70"/>
      <c r="B124" s="70"/>
      <c r="C124" s="70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</row>
    <row r="125" spans="1:58" x14ac:dyDescent="0.35">
      <c r="A125" s="70"/>
      <c r="B125" s="70"/>
      <c r="C125" s="70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</row>
    <row r="126" spans="1:58" x14ac:dyDescent="0.35">
      <c r="A126" s="70"/>
      <c r="B126" s="70"/>
      <c r="C126" s="70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</row>
    <row r="127" spans="1:58" x14ac:dyDescent="0.35">
      <c r="A127" s="70"/>
      <c r="B127" s="70"/>
      <c r="C127" s="70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</row>
    <row r="128" spans="1:58" x14ac:dyDescent="0.35">
      <c r="A128" s="70"/>
      <c r="B128" s="70"/>
      <c r="C128" s="70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  <c r="BC128" s="70"/>
      <c r="BD128" s="70"/>
      <c r="BE128" s="70"/>
      <c r="BF128" s="70"/>
    </row>
    <row r="129" spans="1:58" x14ac:dyDescent="0.35">
      <c r="A129" s="70"/>
      <c r="B129" s="70"/>
      <c r="C129" s="70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70"/>
      <c r="BD129" s="70"/>
      <c r="BE129" s="70"/>
      <c r="BF129" s="70"/>
    </row>
  </sheetData>
  <mergeCells count="186">
    <mergeCell ref="AE89:AE91"/>
    <mergeCell ref="AH89:AH91"/>
    <mergeCell ref="AK89:AK91"/>
    <mergeCell ref="AN89:AN91"/>
    <mergeCell ref="AQ89:AQ91"/>
    <mergeCell ref="A92:A97"/>
    <mergeCell ref="AN86:AN88"/>
    <mergeCell ref="AQ86:AQ88"/>
    <mergeCell ref="B89:B91"/>
    <mergeCell ref="G89:G91"/>
    <mergeCell ref="J89:J91"/>
    <mergeCell ref="P89:P91"/>
    <mergeCell ref="S89:S91"/>
    <mergeCell ref="V89:V91"/>
    <mergeCell ref="Y89:Y91"/>
    <mergeCell ref="AB89:AB91"/>
    <mergeCell ref="V86:V88"/>
    <mergeCell ref="Y86:Y88"/>
    <mergeCell ref="AB86:AB88"/>
    <mergeCell ref="AE86:AE88"/>
    <mergeCell ref="AH86:AH88"/>
    <mergeCell ref="AK86:AK88"/>
    <mergeCell ref="AE78:AE85"/>
    <mergeCell ref="AH78:AH85"/>
    <mergeCell ref="AK78:AK85"/>
    <mergeCell ref="AN78:AN85"/>
    <mergeCell ref="AQ78:AQ85"/>
    <mergeCell ref="B86:B88"/>
    <mergeCell ref="G86:G88"/>
    <mergeCell ref="J86:J88"/>
    <mergeCell ref="P86:P88"/>
    <mergeCell ref="S86:S88"/>
    <mergeCell ref="B78:B85"/>
    <mergeCell ref="G78:G85"/>
    <mergeCell ref="J78:J85"/>
    <mergeCell ref="P78:P85"/>
    <mergeCell ref="S78:S85"/>
    <mergeCell ref="V78:V85"/>
    <mergeCell ref="Y78:Y85"/>
    <mergeCell ref="AB78:AB85"/>
    <mergeCell ref="V71:V77"/>
    <mergeCell ref="Y71:Y77"/>
    <mergeCell ref="AB71:AB77"/>
    <mergeCell ref="AE69:AE70"/>
    <mergeCell ref="AH69:AH70"/>
    <mergeCell ref="AK69:AK70"/>
    <mergeCell ref="AN69:AN70"/>
    <mergeCell ref="AQ69:AQ70"/>
    <mergeCell ref="B71:B77"/>
    <mergeCell ref="G71:G77"/>
    <mergeCell ref="J71:J77"/>
    <mergeCell ref="P71:P77"/>
    <mergeCell ref="S71:S77"/>
    <mergeCell ref="AN71:AN77"/>
    <mergeCell ref="AQ71:AQ77"/>
    <mergeCell ref="AE71:AE77"/>
    <mergeCell ref="AH71:AH77"/>
    <mergeCell ref="AK71:AK77"/>
    <mergeCell ref="B66:B68"/>
    <mergeCell ref="G66:G68"/>
    <mergeCell ref="J66:J68"/>
    <mergeCell ref="P66:P68"/>
    <mergeCell ref="S66:S68"/>
    <mergeCell ref="V66:V68"/>
    <mergeCell ref="AQ66:AQ68"/>
    <mergeCell ref="A69:A91"/>
    <mergeCell ref="B69:B70"/>
    <mergeCell ref="G69:G70"/>
    <mergeCell ref="J69:J70"/>
    <mergeCell ref="P69:P70"/>
    <mergeCell ref="S69:S70"/>
    <mergeCell ref="V69:V70"/>
    <mergeCell ref="Y69:Y70"/>
    <mergeCell ref="AB69:AB70"/>
    <mergeCell ref="Y66:Y68"/>
    <mergeCell ref="AB66:AB68"/>
    <mergeCell ref="AE66:AE68"/>
    <mergeCell ref="AH66:AH68"/>
    <mergeCell ref="AK66:AK68"/>
    <mergeCell ref="AN66:AN68"/>
    <mergeCell ref="A3:A68"/>
    <mergeCell ref="B42:B45"/>
    <mergeCell ref="AQ58:AQ63"/>
    <mergeCell ref="B64:B65"/>
    <mergeCell ref="G64:G65"/>
    <mergeCell ref="J64:J65"/>
    <mergeCell ref="P64:P65"/>
    <mergeCell ref="S64:S65"/>
    <mergeCell ref="V64:V65"/>
    <mergeCell ref="Y64:Y65"/>
    <mergeCell ref="AB64:AB65"/>
    <mergeCell ref="AE64:AE65"/>
    <mergeCell ref="Y58:Y63"/>
    <mergeCell ref="AB58:AB63"/>
    <mergeCell ref="AE58:AE63"/>
    <mergeCell ref="AH58:AH63"/>
    <mergeCell ref="AK58:AK63"/>
    <mergeCell ref="AN58:AN63"/>
    <mergeCell ref="AH64:AH65"/>
    <mergeCell ref="AK64:AK65"/>
    <mergeCell ref="AN64:AN65"/>
    <mergeCell ref="AQ64:AQ65"/>
    <mergeCell ref="B58:B63"/>
    <mergeCell ref="G58:G63"/>
    <mergeCell ref="J58:J63"/>
    <mergeCell ref="P58:P63"/>
    <mergeCell ref="S58:S63"/>
    <mergeCell ref="V58:V63"/>
    <mergeCell ref="P46:P57"/>
    <mergeCell ref="S46:S57"/>
    <mergeCell ref="V46:V57"/>
    <mergeCell ref="B46:B57"/>
    <mergeCell ref="G46:G57"/>
    <mergeCell ref="J46:J57"/>
    <mergeCell ref="Y18:Y29"/>
    <mergeCell ref="AB18:AB29"/>
    <mergeCell ref="AE18:AE29"/>
    <mergeCell ref="AH18:AH29"/>
    <mergeCell ref="AK18:AK29"/>
    <mergeCell ref="AH46:AH57"/>
    <mergeCell ref="AK46:AK57"/>
    <mergeCell ref="AN46:AN57"/>
    <mergeCell ref="AQ46:AQ57"/>
    <mergeCell ref="Y46:Y57"/>
    <mergeCell ref="AB46:AB57"/>
    <mergeCell ref="AE46:AE57"/>
    <mergeCell ref="AN9:AN17"/>
    <mergeCell ref="AQ9:AQ17"/>
    <mergeCell ref="B18:B23"/>
    <mergeCell ref="G18:G29"/>
    <mergeCell ref="J18:J29"/>
    <mergeCell ref="P18:P29"/>
    <mergeCell ref="S18:S29"/>
    <mergeCell ref="AB31:AB41"/>
    <mergeCell ref="AE31:AE41"/>
    <mergeCell ref="AH31:AH41"/>
    <mergeCell ref="AK31:AK41"/>
    <mergeCell ref="AN31:AN41"/>
    <mergeCell ref="AQ31:AQ41"/>
    <mergeCell ref="AN18:AN29"/>
    <mergeCell ref="AQ18:AQ29"/>
    <mergeCell ref="B26:B29"/>
    <mergeCell ref="B30:B41"/>
    <mergeCell ref="G31:G41"/>
    <mergeCell ref="J31:J41"/>
    <mergeCell ref="P31:P41"/>
    <mergeCell ref="S31:S41"/>
    <mergeCell ref="V31:V41"/>
    <mergeCell ref="Y31:Y41"/>
    <mergeCell ref="V18:V29"/>
    <mergeCell ref="AN3:AN8"/>
    <mergeCell ref="AQ3:AQ8"/>
    <mergeCell ref="B9:B17"/>
    <mergeCell ref="G9:G17"/>
    <mergeCell ref="J9:J17"/>
    <mergeCell ref="P9:P17"/>
    <mergeCell ref="S9:S17"/>
    <mergeCell ref="V9:V17"/>
    <mergeCell ref="Y9:Y17"/>
    <mergeCell ref="AB9:AB17"/>
    <mergeCell ref="V3:V8"/>
    <mergeCell ref="Y3:Y8"/>
    <mergeCell ref="AB3:AB8"/>
    <mergeCell ref="AE3:AE8"/>
    <mergeCell ref="AH3:AH8"/>
    <mergeCell ref="AK3:AK8"/>
    <mergeCell ref="B3:B8"/>
    <mergeCell ref="G3:G8"/>
    <mergeCell ref="J3:J8"/>
    <mergeCell ref="P3:P8"/>
    <mergeCell ref="S3:S8"/>
    <mergeCell ref="AE9:AE17"/>
    <mergeCell ref="AH9:AH17"/>
    <mergeCell ref="AK9:AK17"/>
    <mergeCell ref="AA1:AB1"/>
    <mergeCell ref="AD1:AE1"/>
    <mergeCell ref="AG1:AH1"/>
    <mergeCell ref="AJ1:AK1"/>
    <mergeCell ref="AM1:AN1"/>
    <mergeCell ref="AP1:AQ1"/>
    <mergeCell ref="F1:G1"/>
    <mergeCell ref="I1:J1"/>
    <mergeCell ref="O1:P1"/>
    <mergeCell ref="R1:S1"/>
    <mergeCell ref="U1:V1"/>
    <mergeCell ref="X1:Y1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434B-C210-44A8-B454-2E2F3D5A6322}">
  <dimension ref="A1:AZ129"/>
  <sheetViews>
    <sheetView zoomScaleNormal="100" workbookViewId="0">
      <pane xSplit="7" ySplit="1" topLeftCell="N2" activePane="bottomRight" state="frozen"/>
      <selection pane="topRight" activeCell="H1" sqref="H1"/>
      <selection pane="bottomLeft" activeCell="A2" sqref="A2"/>
      <selection pane="bottomRight" activeCell="W41" sqref="W41"/>
    </sheetView>
  </sheetViews>
  <sheetFormatPr defaultColWidth="9" defaultRowHeight="16.5" x14ac:dyDescent="0.35"/>
  <cols>
    <col min="1" max="1" width="13.28515625" style="9" customWidth="1"/>
    <col min="2" max="2" width="13.7109375" style="9" customWidth="1"/>
    <col min="3" max="3" width="31.85546875" style="9" customWidth="1"/>
    <col min="4" max="4" width="9" style="14"/>
    <col min="5" max="5" width="13.140625" style="14" bestFit="1" customWidth="1"/>
    <col min="6" max="6" width="4.42578125" style="14" bestFit="1" customWidth="1"/>
    <col min="7" max="7" width="4.42578125" style="14" customWidth="1"/>
    <col min="8" max="8" width="15.85546875" style="14" customWidth="1"/>
    <col min="9" max="9" width="4.42578125" style="14" bestFit="1" customWidth="1"/>
    <col min="10" max="10" width="4.42578125" style="14" customWidth="1"/>
    <col min="11" max="11" width="15.7109375" style="9" customWidth="1"/>
    <col min="12" max="12" width="4.42578125" style="9" bestFit="1" customWidth="1"/>
    <col min="13" max="13" width="4.42578125" style="9" customWidth="1"/>
    <col min="14" max="14" width="17" style="9" customWidth="1"/>
    <col min="15" max="15" width="4.42578125" style="9" bestFit="1" customWidth="1"/>
    <col min="16" max="16" width="4.42578125" style="9" customWidth="1"/>
    <col min="17" max="17" width="13.140625" style="9" bestFit="1" customWidth="1"/>
    <col min="18" max="18" width="4.42578125" style="9" bestFit="1" customWidth="1"/>
    <col min="19" max="19" width="4.42578125" style="9" customWidth="1"/>
    <col min="20" max="20" width="13.5703125" style="9" customWidth="1"/>
    <col min="21" max="21" width="4.42578125" style="9" bestFit="1" customWidth="1"/>
    <col min="22" max="22" width="4.42578125" style="9" customWidth="1"/>
    <col min="23" max="23" width="12.7109375" style="9" bestFit="1" customWidth="1"/>
    <col min="24" max="24" width="4.42578125" style="9" bestFit="1" customWidth="1"/>
    <col min="25" max="25" width="4.42578125" style="9" customWidth="1"/>
    <col min="26" max="26" width="13.5703125" style="9" bestFit="1" customWidth="1"/>
    <col min="27" max="27" width="4.42578125" style="9" bestFit="1" customWidth="1"/>
    <col min="28" max="28" width="4.42578125" style="9" customWidth="1"/>
    <col min="29" max="29" width="12.5703125" style="9" bestFit="1" customWidth="1"/>
    <col min="30" max="30" width="4.42578125" style="9" bestFit="1" customWidth="1"/>
    <col min="31" max="31" width="4.42578125" style="9" customWidth="1"/>
    <col min="32" max="32" width="13.140625" style="9" bestFit="1" customWidth="1"/>
    <col min="33" max="33" width="4.42578125" style="9" bestFit="1" customWidth="1"/>
    <col min="34" max="34" width="4.42578125" style="9" customWidth="1"/>
    <col min="35" max="35" width="12.5703125" style="9" customWidth="1"/>
    <col min="36" max="37" width="4.42578125" style="9" bestFit="1" customWidth="1"/>
    <col min="38" max="38" width="10.28515625" style="9" customWidth="1"/>
    <col min="39" max="16384" width="9" style="9"/>
  </cols>
  <sheetData>
    <row r="1" spans="1:52" ht="34.5" customHeight="1" x14ac:dyDescent="0.35">
      <c r="A1" s="76" t="s">
        <v>313</v>
      </c>
      <c r="B1" s="76" t="s">
        <v>314</v>
      </c>
      <c r="C1" s="77" t="s">
        <v>315</v>
      </c>
      <c r="D1" s="78" t="s">
        <v>316</v>
      </c>
      <c r="E1" s="78" t="s">
        <v>667</v>
      </c>
      <c r="F1" s="134" t="s">
        <v>317</v>
      </c>
      <c r="G1" s="135"/>
      <c r="H1" s="78" t="s">
        <v>676</v>
      </c>
      <c r="I1" s="134" t="s">
        <v>317</v>
      </c>
      <c r="J1" s="135"/>
      <c r="K1" s="78" t="s">
        <v>679</v>
      </c>
      <c r="L1" s="134" t="s">
        <v>317</v>
      </c>
      <c r="M1" s="135"/>
      <c r="N1" s="78" t="s">
        <v>682</v>
      </c>
      <c r="O1" s="134" t="s">
        <v>317</v>
      </c>
      <c r="P1" s="135"/>
      <c r="Q1" s="78" t="s">
        <v>684</v>
      </c>
      <c r="R1" s="134" t="s">
        <v>317</v>
      </c>
      <c r="S1" s="135"/>
      <c r="T1" s="78" t="s">
        <v>688</v>
      </c>
      <c r="U1" s="134" t="s">
        <v>317</v>
      </c>
      <c r="V1" s="135"/>
      <c r="W1" s="78" t="s">
        <v>689</v>
      </c>
      <c r="X1" s="134" t="s">
        <v>317</v>
      </c>
      <c r="Y1" s="135"/>
      <c r="Z1" s="78"/>
      <c r="AA1" s="134" t="s">
        <v>317</v>
      </c>
      <c r="AB1" s="135"/>
      <c r="AC1" s="78"/>
      <c r="AD1" s="134" t="s">
        <v>317</v>
      </c>
      <c r="AE1" s="135"/>
      <c r="AF1" s="78"/>
      <c r="AG1" s="134" t="s">
        <v>317</v>
      </c>
      <c r="AH1" s="135"/>
      <c r="AI1" s="78"/>
      <c r="AJ1" s="134" t="s">
        <v>317</v>
      </c>
      <c r="AK1" s="135"/>
      <c r="AL1" s="70"/>
      <c r="AM1" s="79" t="s">
        <v>318</v>
      </c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</row>
    <row r="2" spans="1:52" s="61" customFormat="1" ht="30" x14ac:dyDescent="0.35">
      <c r="A2" s="99" t="s">
        <v>557</v>
      </c>
      <c r="B2" s="101" t="s">
        <v>559</v>
      </c>
      <c r="C2" s="101" t="s">
        <v>573</v>
      </c>
      <c r="D2" s="101" t="s">
        <v>558</v>
      </c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90"/>
      <c r="AM2" s="10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</row>
    <row r="3" spans="1:52" ht="15" customHeight="1" x14ac:dyDescent="0.35">
      <c r="A3" s="136" t="s">
        <v>319</v>
      </c>
      <c r="B3" s="126" t="s">
        <v>320</v>
      </c>
      <c r="C3" s="80" t="s">
        <v>527</v>
      </c>
      <c r="D3" s="80" t="s">
        <v>0</v>
      </c>
      <c r="E3" s="80">
        <v>53221</v>
      </c>
      <c r="F3" s="80"/>
      <c r="G3" s="130"/>
      <c r="H3" s="117">
        <f>(158100-1800-370-43500)*0.4536</f>
        <v>50998.248</v>
      </c>
      <c r="I3" s="80"/>
      <c r="J3" s="130"/>
      <c r="K3" s="72">
        <v>45390</v>
      </c>
      <c r="L3" s="72"/>
      <c r="M3" s="122"/>
      <c r="N3" s="72">
        <v>41904</v>
      </c>
      <c r="O3" s="72"/>
      <c r="P3" s="122"/>
      <c r="Q3" s="72">
        <v>46350</v>
      </c>
      <c r="R3" s="72"/>
      <c r="S3" s="122"/>
      <c r="T3" s="72"/>
      <c r="U3" s="72"/>
      <c r="V3" s="122"/>
      <c r="W3" s="72">
        <v>44451</v>
      </c>
      <c r="X3" s="72"/>
      <c r="Y3" s="122"/>
      <c r="Z3" s="72"/>
      <c r="AA3" s="72"/>
      <c r="AB3" s="122"/>
      <c r="AC3" s="72"/>
      <c r="AD3" s="72"/>
      <c r="AE3" s="122"/>
      <c r="AF3" s="72"/>
      <c r="AG3" s="72"/>
      <c r="AH3" s="122"/>
      <c r="AI3" s="72"/>
      <c r="AJ3" s="72"/>
      <c r="AK3" s="122"/>
      <c r="AL3" s="70" t="s">
        <v>320</v>
      </c>
      <c r="AM3" s="81" t="s">
        <v>322</v>
      </c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</row>
    <row r="4" spans="1:52" ht="13.9" customHeight="1" x14ac:dyDescent="0.35">
      <c r="A4" s="137"/>
      <c r="B4" s="126"/>
      <c r="C4" s="80" t="s">
        <v>323</v>
      </c>
      <c r="D4" s="80" t="s">
        <v>1</v>
      </c>
      <c r="E4" s="80">
        <v>3490</v>
      </c>
      <c r="F4" s="80"/>
      <c r="G4" s="133"/>
      <c r="H4" s="80">
        <v>3314</v>
      </c>
      <c r="I4" s="80"/>
      <c r="J4" s="133"/>
      <c r="K4" s="72">
        <v>3339</v>
      </c>
      <c r="L4" s="72"/>
      <c r="M4" s="118"/>
      <c r="N4" s="72">
        <v>3330</v>
      </c>
      <c r="O4" s="72"/>
      <c r="P4" s="118"/>
      <c r="Q4" s="72">
        <v>3400</v>
      </c>
      <c r="R4" s="72"/>
      <c r="S4" s="118"/>
      <c r="T4" s="72">
        <v>3400</v>
      </c>
      <c r="U4" s="72"/>
      <c r="V4" s="118"/>
      <c r="W4" s="72">
        <v>3340</v>
      </c>
      <c r="X4" s="72"/>
      <c r="Y4" s="118"/>
      <c r="Z4" s="72"/>
      <c r="AA4" s="72"/>
      <c r="AB4" s="118"/>
      <c r="AC4" s="72"/>
      <c r="AD4" s="72"/>
      <c r="AE4" s="118"/>
      <c r="AF4" s="72"/>
      <c r="AG4" s="72"/>
      <c r="AH4" s="118"/>
      <c r="AI4" s="72"/>
      <c r="AJ4" s="72"/>
      <c r="AK4" s="118"/>
      <c r="AL4" s="70" t="s">
        <v>324</v>
      </c>
      <c r="AM4" s="81" t="s">
        <v>325</v>
      </c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</row>
    <row r="5" spans="1:52" ht="13.9" customHeight="1" x14ac:dyDescent="0.35">
      <c r="A5" s="137"/>
      <c r="B5" s="126"/>
      <c r="C5" s="80" t="s">
        <v>326</v>
      </c>
      <c r="D5" s="80" t="s">
        <v>1</v>
      </c>
      <c r="E5" s="80">
        <v>3980</v>
      </c>
      <c r="F5" s="80"/>
      <c r="G5" s="133"/>
      <c r="H5" s="80">
        <v>3962</v>
      </c>
      <c r="I5" s="80"/>
      <c r="J5" s="133"/>
      <c r="K5" s="72">
        <v>3745</v>
      </c>
      <c r="L5" s="72"/>
      <c r="M5" s="118"/>
      <c r="N5" s="72">
        <v>3850</v>
      </c>
      <c r="O5" s="72"/>
      <c r="P5" s="118"/>
      <c r="Q5" s="72">
        <v>3620</v>
      </c>
      <c r="R5" s="72"/>
      <c r="S5" s="118"/>
      <c r="T5" s="72">
        <v>3970</v>
      </c>
      <c r="U5" s="72"/>
      <c r="V5" s="118"/>
      <c r="W5" s="72">
        <v>3830</v>
      </c>
      <c r="X5" s="72"/>
      <c r="Y5" s="118"/>
      <c r="Z5" s="72"/>
      <c r="AA5" s="72"/>
      <c r="AB5" s="118"/>
      <c r="AC5" s="72"/>
      <c r="AD5" s="72"/>
      <c r="AE5" s="118"/>
      <c r="AF5" s="72"/>
      <c r="AG5" s="72"/>
      <c r="AH5" s="118"/>
      <c r="AI5" s="72"/>
      <c r="AJ5" s="72"/>
      <c r="AK5" s="118"/>
      <c r="AL5" s="70" t="s">
        <v>327</v>
      </c>
      <c r="AM5" s="81" t="s">
        <v>328</v>
      </c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</row>
    <row r="6" spans="1:52" ht="13.9" customHeight="1" x14ac:dyDescent="0.35">
      <c r="A6" s="137"/>
      <c r="B6" s="126"/>
      <c r="C6" s="80" t="s">
        <v>329</v>
      </c>
      <c r="D6" s="80" t="s">
        <v>1</v>
      </c>
      <c r="E6" s="80">
        <v>15580</v>
      </c>
      <c r="F6" s="80"/>
      <c r="G6" s="133"/>
      <c r="H6" s="80">
        <v>14700</v>
      </c>
      <c r="I6" s="80"/>
      <c r="J6" s="133"/>
      <c r="K6" s="72">
        <v>13690</v>
      </c>
      <c r="L6" s="72"/>
      <c r="M6" s="118"/>
      <c r="N6" s="72">
        <v>14700</v>
      </c>
      <c r="O6" s="72"/>
      <c r="P6" s="118"/>
      <c r="Q6" s="72">
        <v>14236</v>
      </c>
      <c r="R6" s="72"/>
      <c r="S6" s="118"/>
      <c r="T6" s="72">
        <v>15355</v>
      </c>
      <c r="U6" s="72"/>
      <c r="V6" s="118"/>
      <c r="W6" s="72">
        <v>14850</v>
      </c>
      <c r="X6" s="72"/>
      <c r="Y6" s="118"/>
      <c r="Z6" s="72"/>
      <c r="AA6" s="72"/>
      <c r="AB6" s="118"/>
      <c r="AC6" s="72"/>
      <c r="AD6" s="72"/>
      <c r="AE6" s="118"/>
      <c r="AF6" s="72"/>
      <c r="AG6" s="72"/>
      <c r="AH6" s="118"/>
      <c r="AI6" s="72"/>
      <c r="AJ6" s="72"/>
      <c r="AK6" s="118"/>
      <c r="AL6" s="70"/>
      <c r="AM6" s="81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</row>
    <row r="7" spans="1:52" ht="13.9" customHeight="1" x14ac:dyDescent="0.35">
      <c r="A7" s="137"/>
      <c r="B7" s="126"/>
      <c r="C7" s="80" t="s">
        <v>554</v>
      </c>
      <c r="D7" s="80" t="s">
        <v>0</v>
      </c>
      <c r="E7" s="80">
        <v>23000</v>
      </c>
      <c r="F7" s="80"/>
      <c r="G7" s="133"/>
      <c r="H7" s="80">
        <v>19731</v>
      </c>
      <c r="I7" s="80"/>
      <c r="J7" s="133"/>
      <c r="K7" s="72">
        <v>13245</v>
      </c>
      <c r="L7" s="72"/>
      <c r="M7" s="118"/>
      <c r="N7" s="72">
        <v>13200</v>
      </c>
      <c r="O7" s="72"/>
      <c r="P7" s="118"/>
      <c r="Q7" s="72">
        <v>20600</v>
      </c>
      <c r="R7" s="72"/>
      <c r="S7" s="118"/>
      <c r="T7" s="72">
        <v>14500</v>
      </c>
      <c r="U7" s="72"/>
      <c r="V7" s="118"/>
      <c r="W7" s="72">
        <v>13500</v>
      </c>
      <c r="X7" s="72"/>
      <c r="Y7" s="118"/>
      <c r="Z7" s="72"/>
      <c r="AA7" s="72"/>
      <c r="AB7" s="118"/>
      <c r="AC7" s="72"/>
      <c r="AD7" s="72"/>
      <c r="AE7" s="118"/>
      <c r="AF7" s="72"/>
      <c r="AG7" s="72"/>
      <c r="AH7" s="118"/>
      <c r="AI7" s="72"/>
      <c r="AJ7" s="72"/>
      <c r="AK7" s="118"/>
      <c r="AL7" s="70"/>
      <c r="AM7" s="81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</row>
    <row r="8" spans="1:52" ht="15" customHeight="1" x14ac:dyDescent="0.35">
      <c r="A8" s="137"/>
      <c r="B8" s="126"/>
      <c r="C8" s="10" t="s">
        <v>555</v>
      </c>
      <c r="D8" s="7"/>
      <c r="E8" s="80">
        <v>3</v>
      </c>
      <c r="F8" s="80"/>
      <c r="G8" s="131"/>
      <c r="H8" s="80">
        <v>2</v>
      </c>
      <c r="I8" s="80"/>
      <c r="J8" s="131"/>
      <c r="K8" s="72">
        <v>2</v>
      </c>
      <c r="L8" s="72"/>
      <c r="M8" s="125"/>
      <c r="N8" s="72">
        <v>4</v>
      </c>
      <c r="O8" s="72"/>
      <c r="P8" s="125"/>
      <c r="Q8" s="72">
        <v>5</v>
      </c>
      <c r="R8" s="72"/>
      <c r="S8" s="125"/>
      <c r="T8" s="72">
        <v>2</v>
      </c>
      <c r="U8" s="72"/>
      <c r="V8" s="125"/>
      <c r="W8" s="72">
        <v>2</v>
      </c>
      <c r="X8" s="72"/>
      <c r="Y8" s="125"/>
      <c r="Z8" s="72"/>
      <c r="AA8" s="72"/>
      <c r="AB8" s="125"/>
      <c r="AC8" s="72"/>
      <c r="AD8" s="72"/>
      <c r="AE8" s="125"/>
      <c r="AF8" s="72"/>
      <c r="AG8" s="72"/>
      <c r="AH8" s="125"/>
      <c r="AI8" s="72"/>
      <c r="AJ8" s="72"/>
      <c r="AK8" s="125"/>
      <c r="AL8" s="70" t="s">
        <v>330</v>
      </c>
      <c r="AM8" s="81" t="s">
        <v>331</v>
      </c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</row>
    <row r="9" spans="1:52" ht="13.9" customHeight="1" x14ac:dyDescent="0.35">
      <c r="A9" s="137"/>
      <c r="B9" s="126" t="s">
        <v>324</v>
      </c>
      <c r="C9" s="80" t="s">
        <v>528</v>
      </c>
      <c r="D9" s="80" t="s">
        <v>529</v>
      </c>
      <c r="E9" s="80">
        <v>30</v>
      </c>
      <c r="F9" s="80"/>
      <c r="G9" s="130"/>
      <c r="H9" s="80">
        <v>19</v>
      </c>
      <c r="I9" s="80"/>
      <c r="J9" s="130"/>
      <c r="K9" s="72">
        <v>24</v>
      </c>
      <c r="L9" s="72"/>
      <c r="M9" s="122"/>
      <c r="N9" s="72">
        <v>24</v>
      </c>
      <c r="O9" s="72"/>
      <c r="P9" s="122"/>
      <c r="Q9" s="72">
        <v>20</v>
      </c>
      <c r="R9" s="72"/>
      <c r="S9" s="122"/>
      <c r="T9" s="72">
        <v>30</v>
      </c>
      <c r="U9" s="72"/>
      <c r="V9" s="122"/>
      <c r="W9" s="72">
        <v>24</v>
      </c>
      <c r="X9" s="72"/>
      <c r="Y9" s="122"/>
      <c r="Z9" s="72"/>
      <c r="AA9" s="72"/>
      <c r="AB9" s="122"/>
      <c r="AC9" s="72"/>
      <c r="AD9" s="72"/>
      <c r="AE9" s="122"/>
      <c r="AF9" s="72"/>
      <c r="AG9" s="72"/>
      <c r="AH9" s="122"/>
      <c r="AI9" s="72"/>
      <c r="AJ9" s="72"/>
      <c r="AK9" s="122"/>
      <c r="AL9" s="70" t="s">
        <v>333</v>
      </c>
      <c r="AM9" s="81" t="s">
        <v>334</v>
      </c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</row>
    <row r="10" spans="1:52" ht="13.9" customHeight="1" x14ac:dyDescent="0.35">
      <c r="A10" s="137"/>
      <c r="B10" s="126"/>
      <c r="C10" s="80" t="s">
        <v>556</v>
      </c>
      <c r="D10" s="80" t="s">
        <v>529</v>
      </c>
      <c r="E10" s="80">
        <v>5</v>
      </c>
      <c r="F10" s="80"/>
      <c r="G10" s="133"/>
      <c r="H10" s="80"/>
      <c r="I10" s="80"/>
      <c r="J10" s="133"/>
      <c r="K10" s="72"/>
      <c r="L10" s="72"/>
      <c r="M10" s="118"/>
      <c r="N10" s="72"/>
      <c r="O10" s="72"/>
      <c r="P10" s="118"/>
      <c r="Q10" s="72"/>
      <c r="R10" s="72"/>
      <c r="S10" s="118"/>
      <c r="T10" s="72"/>
      <c r="U10" s="72"/>
      <c r="V10" s="118"/>
      <c r="W10" s="72"/>
      <c r="X10" s="72"/>
      <c r="Y10" s="118"/>
      <c r="Z10" s="72"/>
      <c r="AA10" s="72"/>
      <c r="AB10" s="118"/>
      <c r="AC10" s="72"/>
      <c r="AD10" s="72"/>
      <c r="AE10" s="118"/>
      <c r="AF10" s="72"/>
      <c r="AG10" s="72"/>
      <c r="AH10" s="118"/>
      <c r="AI10" s="72"/>
      <c r="AJ10" s="72"/>
      <c r="AK10" s="118"/>
      <c r="AL10" s="70"/>
      <c r="AM10" s="81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</row>
    <row r="11" spans="1:52" ht="13.9" customHeight="1" x14ac:dyDescent="0.35">
      <c r="A11" s="137"/>
      <c r="B11" s="126"/>
      <c r="C11" s="80" t="s">
        <v>335</v>
      </c>
      <c r="D11" s="80" t="s">
        <v>1</v>
      </c>
      <c r="E11" s="80">
        <v>4600</v>
      </c>
      <c r="F11" s="80"/>
      <c r="G11" s="133"/>
      <c r="H11" s="80">
        <v>4460</v>
      </c>
      <c r="I11" s="80"/>
      <c r="J11" s="133"/>
      <c r="K11" s="72">
        <v>4214</v>
      </c>
      <c r="L11" s="72"/>
      <c r="M11" s="118"/>
      <c r="N11" s="72">
        <v>4370</v>
      </c>
      <c r="O11" s="72"/>
      <c r="P11" s="118"/>
      <c r="Q11" s="72">
        <v>4785</v>
      </c>
      <c r="R11" s="72"/>
      <c r="S11" s="118"/>
      <c r="T11" s="72">
        <v>4250</v>
      </c>
      <c r="U11" s="72"/>
      <c r="V11" s="118"/>
      <c r="W11" s="72">
        <v>4265</v>
      </c>
      <c r="X11" s="72"/>
      <c r="Y11" s="118"/>
      <c r="Z11" s="72"/>
      <c r="AA11" s="72"/>
      <c r="AB11" s="118"/>
      <c r="AC11" s="72"/>
      <c r="AD11" s="72"/>
      <c r="AE11" s="118"/>
      <c r="AF11" s="72"/>
      <c r="AG11" s="72"/>
      <c r="AH11" s="118"/>
      <c r="AI11" s="72"/>
      <c r="AJ11" s="72"/>
      <c r="AK11" s="118"/>
      <c r="AL11" s="70" t="s">
        <v>336</v>
      </c>
      <c r="AM11" s="81" t="s">
        <v>337</v>
      </c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</row>
    <row r="12" spans="1:52" ht="13.9" customHeight="1" x14ac:dyDescent="0.35">
      <c r="A12" s="137"/>
      <c r="B12" s="126"/>
      <c r="C12" s="80" t="s">
        <v>537</v>
      </c>
      <c r="D12" s="80"/>
      <c r="E12" s="80" t="s">
        <v>672</v>
      </c>
      <c r="F12" s="80"/>
      <c r="G12" s="133"/>
      <c r="H12" s="80" t="s">
        <v>678</v>
      </c>
      <c r="I12" s="80"/>
      <c r="J12" s="133"/>
      <c r="K12" s="72" t="s">
        <v>643</v>
      </c>
      <c r="L12" s="72"/>
      <c r="M12" s="118"/>
      <c r="N12" s="72" t="s">
        <v>643</v>
      </c>
      <c r="O12" s="72"/>
      <c r="P12" s="118"/>
      <c r="Q12" s="72" t="s">
        <v>631</v>
      </c>
      <c r="R12" s="72"/>
      <c r="S12" s="118"/>
      <c r="T12" s="72" t="s">
        <v>643</v>
      </c>
      <c r="U12" s="72"/>
      <c r="V12" s="118"/>
      <c r="W12" s="72" t="s">
        <v>643</v>
      </c>
      <c r="X12" s="72"/>
      <c r="Y12" s="118"/>
      <c r="Z12" s="72"/>
      <c r="AA12" s="72"/>
      <c r="AB12" s="118"/>
      <c r="AC12" s="72"/>
      <c r="AD12" s="72"/>
      <c r="AE12" s="118"/>
      <c r="AF12" s="72"/>
      <c r="AG12" s="72"/>
      <c r="AH12" s="118"/>
      <c r="AI12" s="72"/>
      <c r="AJ12" s="72"/>
      <c r="AK12" s="118"/>
      <c r="AL12" s="70"/>
      <c r="AM12" s="81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</row>
    <row r="13" spans="1:52" ht="13.9" customHeight="1" x14ac:dyDescent="0.35">
      <c r="A13" s="137"/>
      <c r="B13" s="126"/>
      <c r="C13" s="80" t="s">
        <v>530</v>
      </c>
      <c r="D13" s="80"/>
      <c r="E13" s="80">
        <v>4</v>
      </c>
      <c r="F13" s="80"/>
      <c r="G13" s="133"/>
      <c r="H13" s="80">
        <v>4</v>
      </c>
      <c r="I13" s="80"/>
      <c r="J13" s="133"/>
      <c r="K13" s="72">
        <v>4</v>
      </c>
      <c r="L13" s="72"/>
      <c r="M13" s="118"/>
      <c r="N13" s="72">
        <v>4</v>
      </c>
      <c r="O13" s="72"/>
      <c r="P13" s="118"/>
      <c r="Q13" s="72"/>
      <c r="R13" s="72"/>
      <c r="S13" s="118"/>
      <c r="T13" s="72">
        <v>4</v>
      </c>
      <c r="U13" s="72"/>
      <c r="V13" s="118"/>
      <c r="W13" s="72">
        <v>4</v>
      </c>
      <c r="X13" s="72"/>
      <c r="Y13" s="118"/>
      <c r="Z13" s="72"/>
      <c r="AA13" s="72"/>
      <c r="AB13" s="118"/>
      <c r="AC13" s="72"/>
      <c r="AD13" s="72"/>
      <c r="AE13" s="118"/>
      <c r="AF13" s="72"/>
      <c r="AG13" s="72"/>
      <c r="AH13" s="118"/>
      <c r="AI13" s="72"/>
      <c r="AJ13" s="72"/>
      <c r="AK13" s="118"/>
      <c r="AL13" s="70" t="s">
        <v>339</v>
      </c>
      <c r="AM13" s="81" t="s">
        <v>340</v>
      </c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</row>
    <row r="14" spans="1:52" ht="13.9" customHeight="1" x14ac:dyDescent="0.35">
      <c r="A14" s="137"/>
      <c r="B14" s="126"/>
      <c r="C14" s="80" t="s">
        <v>607</v>
      </c>
      <c r="D14" s="80" t="s">
        <v>142</v>
      </c>
      <c r="E14" s="80">
        <v>9.1</v>
      </c>
      <c r="F14" s="80"/>
      <c r="G14" s="133"/>
      <c r="H14" s="80">
        <v>7.99</v>
      </c>
      <c r="I14" s="80"/>
      <c r="J14" s="133"/>
      <c r="K14" s="72">
        <v>7.78</v>
      </c>
      <c r="L14" s="72"/>
      <c r="M14" s="118"/>
      <c r="N14" s="72">
        <v>7.7</v>
      </c>
      <c r="O14" s="72"/>
      <c r="P14" s="118"/>
      <c r="Q14" s="72">
        <v>7.5</v>
      </c>
      <c r="R14" s="72"/>
      <c r="S14" s="118"/>
      <c r="T14" s="72"/>
      <c r="U14" s="72"/>
      <c r="V14" s="118"/>
      <c r="W14" s="72">
        <v>8.1</v>
      </c>
      <c r="X14" s="72"/>
      <c r="Y14" s="118"/>
      <c r="Z14" s="72"/>
      <c r="AA14" s="72"/>
      <c r="AB14" s="118"/>
      <c r="AC14" s="72"/>
      <c r="AD14" s="72"/>
      <c r="AE14" s="118"/>
      <c r="AF14" s="72"/>
      <c r="AG14" s="72"/>
      <c r="AH14" s="118"/>
      <c r="AI14" s="72"/>
      <c r="AJ14" s="72"/>
      <c r="AK14" s="118"/>
      <c r="AL14" s="70"/>
      <c r="AM14" s="81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</row>
    <row r="15" spans="1:52" ht="13.9" customHeight="1" x14ac:dyDescent="0.35">
      <c r="A15" s="137"/>
      <c r="B15" s="126"/>
      <c r="C15" s="80" t="s">
        <v>608</v>
      </c>
      <c r="D15" s="80" t="s">
        <v>575</v>
      </c>
      <c r="E15" s="80">
        <v>80</v>
      </c>
      <c r="F15" s="80"/>
      <c r="G15" s="133"/>
      <c r="H15" s="80">
        <v>57</v>
      </c>
      <c r="I15" s="80"/>
      <c r="J15" s="133"/>
      <c r="K15" s="72">
        <v>99</v>
      </c>
      <c r="L15" s="72"/>
      <c r="M15" s="118"/>
      <c r="N15" s="72">
        <v>23</v>
      </c>
      <c r="O15" s="72"/>
      <c r="P15" s="118"/>
      <c r="Q15" s="72">
        <v>60</v>
      </c>
      <c r="R15" s="72"/>
      <c r="S15" s="118"/>
      <c r="T15" s="72">
        <v>75</v>
      </c>
      <c r="U15" s="72"/>
      <c r="V15" s="118"/>
      <c r="W15" s="72">
        <v>75</v>
      </c>
      <c r="X15" s="72"/>
      <c r="Y15" s="118"/>
      <c r="Z15" s="72"/>
      <c r="AA15" s="72"/>
      <c r="AB15" s="118"/>
      <c r="AC15" s="72"/>
      <c r="AD15" s="72"/>
      <c r="AE15" s="118"/>
      <c r="AF15" s="72"/>
      <c r="AG15" s="72"/>
      <c r="AH15" s="118"/>
      <c r="AI15" s="72"/>
      <c r="AJ15" s="72"/>
      <c r="AK15" s="118"/>
      <c r="AL15" s="70"/>
      <c r="AM15" s="81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</row>
    <row r="16" spans="1:52" ht="13.9" customHeight="1" x14ac:dyDescent="0.35">
      <c r="A16" s="137"/>
      <c r="B16" s="126"/>
      <c r="C16" s="80" t="s">
        <v>531</v>
      </c>
      <c r="D16" s="80" t="s">
        <v>563</v>
      </c>
      <c r="E16" s="80">
        <v>21</v>
      </c>
      <c r="F16" s="80"/>
      <c r="G16" s="133"/>
      <c r="H16" s="80">
        <v>13.6</v>
      </c>
      <c r="I16" s="80"/>
      <c r="J16" s="133"/>
      <c r="K16" s="72">
        <v>20</v>
      </c>
      <c r="L16" s="72"/>
      <c r="M16" s="118"/>
      <c r="N16" s="72">
        <v>27</v>
      </c>
      <c r="O16" s="72"/>
      <c r="P16" s="118"/>
      <c r="Q16" s="72">
        <v>14</v>
      </c>
      <c r="R16" s="72"/>
      <c r="S16" s="118"/>
      <c r="T16" s="72">
        <v>18</v>
      </c>
      <c r="U16" s="72"/>
      <c r="V16" s="118"/>
      <c r="W16" s="72">
        <v>20</v>
      </c>
      <c r="X16" s="72"/>
      <c r="Y16" s="118"/>
      <c r="Z16" s="72"/>
      <c r="AA16" s="72"/>
      <c r="AB16" s="118"/>
      <c r="AC16" s="72"/>
      <c r="AD16" s="72"/>
      <c r="AE16" s="118"/>
      <c r="AF16" s="72"/>
      <c r="AG16" s="72"/>
      <c r="AH16" s="118"/>
      <c r="AI16" s="72"/>
      <c r="AJ16" s="72"/>
      <c r="AK16" s="118"/>
      <c r="AL16" s="70"/>
      <c r="AM16" s="81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</row>
    <row r="17" spans="1:52" ht="13.9" customHeight="1" x14ac:dyDescent="0.35">
      <c r="A17" s="137"/>
      <c r="B17" s="126"/>
      <c r="C17" s="80" t="s">
        <v>532</v>
      </c>
      <c r="D17" s="80" t="s">
        <v>563</v>
      </c>
      <c r="E17" s="80">
        <v>22</v>
      </c>
      <c r="F17" s="80"/>
      <c r="G17" s="131"/>
      <c r="H17" s="80">
        <v>16.100000000000001</v>
      </c>
      <c r="I17" s="80"/>
      <c r="J17" s="131"/>
      <c r="K17" s="72">
        <v>17</v>
      </c>
      <c r="L17" s="72"/>
      <c r="M17" s="125"/>
      <c r="N17" s="72">
        <v>25</v>
      </c>
      <c r="O17" s="72"/>
      <c r="P17" s="125"/>
      <c r="Q17" s="72">
        <v>19</v>
      </c>
      <c r="R17" s="72"/>
      <c r="S17" s="125"/>
      <c r="T17" s="72">
        <v>20</v>
      </c>
      <c r="U17" s="72"/>
      <c r="V17" s="125"/>
      <c r="W17" s="72">
        <v>19</v>
      </c>
      <c r="X17" s="72"/>
      <c r="Y17" s="125"/>
      <c r="Z17" s="72"/>
      <c r="AA17" s="72"/>
      <c r="AB17" s="125"/>
      <c r="AC17" s="72"/>
      <c r="AD17" s="72"/>
      <c r="AE17" s="125"/>
      <c r="AF17" s="72"/>
      <c r="AG17" s="72"/>
      <c r="AH17" s="125"/>
      <c r="AI17" s="72"/>
      <c r="AJ17" s="72"/>
      <c r="AK17" s="125"/>
      <c r="AL17" s="70" t="s">
        <v>342</v>
      </c>
      <c r="AM17" s="81" t="s">
        <v>343</v>
      </c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</row>
    <row r="18" spans="1:52" ht="13.9" customHeight="1" x14ac:dyDescent="0.35">
      <c r="A18" s="137"/>
      <c r="B18" s="130" t="s">
        <v>582</v>
      </c>
      <c r="C18" s="80" t="s">
        <v>522</v>
      </c>
      <c r="D18" s="80" t="s">
        <v>142</v>
      </c>
      <c r="E18" s="80">
        <v>12.9</v>
      </c>
      <c r="F18" s="80"/>
      <c r="G18" s="130"/>
      <c r="H18" s="80">
        <v>12.19</v>
      </c>
      <c r="I18" s="80"/>
      <c r="J18" s="130"/>
      <c r="K18" s="72">
        <v>11.3</v>
      </c>
      <c r="L18" s="72"/>
      <c r="M18" s="122"/>
      <c r="N18" s="72">
        <v>11.67</v>
      </c>
      <c r="O18" s="72"/>
      <c r="P18" s="122"/>
      <c r="Q18" s="72">
        <v>11.49</v>
      </c>
      <c r="R18" s="72"/>
      <c r="S18" s="122"/>
      <c r="T18" s="72">
        <v>12.7</v>
      </c>
      <c r="U18" s="72"/>
      <c r="V18" s="122"/>
      <c r="W18" s="72"/>
      <c r="X18" s="72"/>
      <c r="Y18" s="122"/>
      <c r="Z18" s="72"/>
      <c r="AA18" s="72"/>
      <c r="AB18" s="122"/>
      <c r="AC18" s="72"/>
      <c r="AD18" s="72"/>
      <c r="AE18" s="122"/>
      <c r="AF18" s="72"/>
      <c r="AG18" s="72"/>
      <c r="AH18" s="122"/>
      <c r="AI18" s="72"/>
      <c r="AJ18" s="72"/>
      <c r="AK18" s="122"/>
      <c r="AL18" s="70" t="s">
        <v>345</v>
      </c>
      <c r="AM18" s="81" t="s">
        <v>346</v>
      </c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</row>
    <row r="19" spans="1:52" ht="13.9" customHeight="1" x14ac:dyDescent="0.35">
      <c r="A19" s="137"/>
      <c r="B19" s="133"/>
      <c r="C19" s="80" t="s">
        <v>523</v>
      </c>
      <c r="D19" s="80" t="s">
        <v>142</v>
      </c>
      <c r="E19" s="80">
        <v>50</v>
      </c>
      <c r="F19" s="80"/>
      <c r="G19" s="133"/>
      <c r="H19" s="80">
        <v>56</v>
      </c>
      <c r="I19" s="80"/>
      <c r="J19" s="133"/>
      <c r="K19" s="72">
        <v>60</v>
      </c>
      <c r="L19" s="72"/>
      <c r="M19" s="118"/>
      <c r="N19" s="72">
        <v>50</v>
      </c>
      <c r="O19" s="72"/>
      <c r="P19" s="118"/>
      <c r="Q19" s="72">
        <v>60</v>
      </c>
      <c r="R19" s="72"/>
      <c r="S19" s="118"/>
      <c r="T19" s="72">
        <v>50</v>
      </c>
      <c r="U19" s="72"/>
      <c r="V19" s="118"/>
      <c r="W19" s="72">
        <v>56</v>
      </c>
      <c r="X19" s="72"/>
      <c r="Y19" s="118"/>
      <c r="Z19" s="72"/>
      <c r="AA19" s="84"/>
      <c r="AB19" s="118"/>
      <c r="AC19" s="84"/>
      <c r="AD19" s="72"/>
      <c r="AE19" s="118"/>
      <c r="AF19" s="72"/>
      <c r="AG19" s="72"/>
      <c r="AH19" s="118"/>
      <c r="AI19" s="72"/>
      <c r="AJ19" s="72"/>
      <c r="AK19" s="118"/>
      <c r="AL19" s="70"/>
      <c r="AM19" s="79" t="s">
        <v>348</v>
      </c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</row>
    <row r="20" spans="1:52" ht="13.9" customHeight="1" x14ac:dyDescent="0.35">
      <c r="A20" s="137"/>
      <c r="B20" s="133"/>
      <c r="C20" s="80" t="s">
        <v>524</v>
      </c>
      <c r="D20" s="80" t="s">
        <v>142</v>
      </c>
      <c r="E20" s="80">
        <v>18.3</v>
      </c>
      <c r="F20" s="80"/>
      <c r="G20" s="133"/>
      <c r="H20" s="80">
        <v>18</v>
      </c>
      <c r="I20" s="80"/>
      <c r="J20" s="133"/>
      <c r="K20" s="72">
        <v>17.600000000000001</v>
      </c>
      <c r="L20" s="72"/>
      <c r="M20" s="118"/>
      <c r="N20" s="72">
        <v>17.7</v>
      </c>
      <c r="O20" s="72"/>
      <c r="P20" s="118"/>
      <c r="Q20" s="72">
        <v>19</v>
      </c>
      <c r="R20" s="72"/>
      <c r="S20" s="118"/>
      <c r="T20" s="72">
        <v>16</v>
      </c>
      <c r="U20" s="72"/>
      <c r="V20" s="118"/>
      <c r="W20" s="72"/>
      <c r="X20" s="72"/>
      <c r="Y20" s="118"/>
      <c r="Z20" s="72"/>
      <c r="AA20" s="72"/>
      <c r="AB20" s="118"/>
      <c r="AC20" s="72"/>
      <c r="AD20" s="72"/>
      <c r="AE20" s="118"/>
      <c r="AF20" s="72"/>
      <c r="AG20" s="72"/>
      <c r="AH20" s="118"/>
      <c r="AI20" s="72"/>
      <c r="AJ20" s="72"/>
      <c r="AK20" s="118"/>
      <c r="AL20" s="70" t="s">
        <v>350</v>
      </c>
      <c r="AM20" s="81" t="s">
        <v>351</v>
      </c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</row>
    <row r="21" spans="1:52" ht="13.9" customHeight="1" x14ac:dyDescent="0.35">
      <c r="A21" s="137"/>
      <c r="B21" s="133"/>
      <c r="C21" s="80" t="s">
        <v>525</v>
      </c>
      <c r="D21" s="80" t="s">
        <v>142</v>
      </c>
      <c r="E21" s="80" t="s">
        <v>596</v>
      </c>
      <c r="F21" s="80"/>
      <c r="G21" s="133"/>
      <c r="H21" s="106" t="s">
        <v>596</v>
      </c>
      <c r="I21" s="80"/>
      <c r="J21" s="133"/>
      <c r="K21" s="114" t="s">
        <v>596</v>
      </c>
      <c r="L21" s="72"/>
      <c r="M21" s="118"/>
      <c r="N21" s="115" t="s">
        <v>683</v>
      </c>
      <c r="O21" s="72"/>
      <c r="P21" s="118"/>
      <c r="Q21" s="72" t="s">
        <v>685</v>
      </c>
      <c r="R21" s="72"/>
      <c r="S21" s="118"/>
      <c r="T21" s="72"/>
      <c r="U21" s="72"/>
      <c r="V21" s="118"/>
      <c r="W21" s="114"/>
      <c r="X21" s="72"/>
      <c r="Y21" s="118"/>
      <c r="Z21" s="72"/>
      <c r="AA21" s="72"/>
      <c r="AB21" s="118"/>
      <c r="AC21" s="72"/>
      <c r="AD21" s="72"/>
      <c r="AE21" s="118"/>
      <c r="AF21" s="72"/>
      <c r="AG21" s="72"/>
      <c r="AH21" s="118"/>
      <c r="AI21" s="72"/>
      <c r="AJ21" s="72"/>
      <c r="AK21" s="118"/>
      <c r="AL21" s="70" t="s">
        <v>333</v>
      </c>
      <c r="AM21" s="81" t="s">
        <v>353</v>
      </c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</row>
    <row r="22" spans="1:52" ht="13.9" customHeight="1" x14ac:dyDescent="0.35">
      <c r="A22" s="137"/>
      <c r="B22" s="133"/>
      <c r="C22" s="80" t="s">
        <v>552</v>
      </c>
      <c r="D22" s="80" t="s">
        <v>563</v>
      </c>
      <c r="E22" s="80" t="s">
        <v>632</v>
      </c>
      <c r="F22" s="80"/>
      <c r="G22" s="133"/>
      <c r="H22" s="105" t="s">
        <v>584</v>
      </c>
      <c r="I22" s="80"/>
      <c r="J22" s="133"/>
      <c r="K22" s="72" t="s">
        <v>681</v>
      </c>
      <c r="L22" s="72"/>
      <c r="M22" s="118"/>
      <c r="N22" s="72" t="s">
        <v>653</v>
      </c>
      <c r="O22" s="72"/>
      <c r="P22" s="118"/>
      <c r="Q22" s="72" t="s">
        <v>648</v>
      </c>
      <c r="R22" s="72"/>
      <c r="S22" s="118"/>
      <c r="T22" s="72" t="s">
        <v>632</v>
      </c>
      <c r="U22" s="72"/>
      <c r="V22" s="118"/>
      <c r="W22" s="72" t="s">
        <v>648</v>
      </c>
      <c r="X22" s="72"/>
      <c r="Y22" s="118"/>
      <c r="Z22" s="72"/>
      <c r="AA22" s="72"/>
      <c r="AB22" s="118"/>
      <c r="AC22" s="72"/>
      <c r="AD22" s="72"/>
      <c r="AE22" s="118"/>
      <c r="AF22" s="72"/>
      <c r="AG22" s="72"/>
      <c r="AH22" s="118"/>
      <c r="AI22" s="72"/>
      <c r="AJ22" s="72"/>
      <c r="AK22" s="118"/>
      <c r="AL22" s="70"/>
      <c r="AM22" s="81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</row>
    <row r="23" spans="1:52" ht="13.9" customHeight="1" x14ac:dyDescent="0.35">
      <c r="A23" s="137"/>
      <c r="B23" s="131"/>
      <c r="C23" s="80" t="s">
        <v>553</v>
      </c>
      <c r="D23" s="80" t="s">
        <v>544</v>
      </c>
      <c r="E23" s="80" t="s">
        <v>596</v>
      </c>
      <c r="F23" s="80"/>
      <c r="G23" s="133"/>
      <c r="H23" s="80" t="s">
        <v>677</v>
      </c>
      <c r="I23" s="80"/>
      <c r="J23" s="133"/>
      <c r="K23" s="72" t="s">
        <v>680</v>
      </c>
      <c r="L23" s="72"/>
      <c r="M23" s="118"/>
      <c r="N23" s="72" t="s">
        <v>596</v>
      </c>
      <c r="O23" s="72"/>
      <c r="P23" s="118"/>
      <c r="Q23" s="72" t="s">
        <v>596</v>
      </c>
      <c r="R23" s="72"/>
      <c r="S23" s="118"/>
      <c r="T23" s="72" t="s">
        <v>596</v>
      </c>
      <c r="U23" s="72"/>
      <c r="V23" s="118"/>
      <c r="W23" s="72"/>
      <c r="X23" s="72"/>
      <c r="Y23" s="118"/>
      <c r="Z23" s="72"/>
      <c r="AA23" s="72"/>
      <c r="AB23" s="118"/>
      <c r="AC23" s="72"/>
      <c r="AD23" s="72"/>
      <c r="AE23" s="118"/>
      <c r="AF23" s="72"/>
      <c r="AG23" s="72"/>
      <c r="AH23" s="118"/>
      <c r="AI23" s="72"/>
      <c r="AJ23" s="72"/>
      <c r="AK23" s="118"/>
      <c r="AL23" s="70"/>
      <c r="AM23" s="81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</row>
    <row r="24" spans="1:52" ht="13.9" customHeight="1" x14ac:dyDescent="0.35">
      <c r="A24" s="137"/>
      <c r="B24" s="104"/>
      <c r="C24" s="80" t="s">
        <v>526</v>
      </c>
      <c r="D24" s="80" t="s">
        <v>1</v>
      </c>
      <c r="E24" s="80">
        <v>4890</v>
      </c>
      <c r="F24" s="80"/>
      <c r="G24" s="133"/>
      <c r="H24" s="80">
        <v>4596</v>
      </c>
      <c r="I24" s="80"/>
      <c r="J24" s="133"/>
      <c r="K24" s="72">
        <v>4572</v>
      </c>
      <c r="L24" s="72"/>
      <c r="M24" s="118"/>
      <c r="N24" s="72">
        <v>4320</v>
      </c>
      <c r="O24" s="72"/>
      <c r="P24" s="118"/>
      <c r="Q24" s="72">
        <v>4650</v>
      </c>
      <c r="R24" s="72"/>
      <c r="S24" s="118"/>
      <c r="T24" s="72"/>
      <c r="U24" s="72"/>
      <c r="V24" s="118"/>
      <c r="W24" s="72">
        <v>4500</v>
      </c>
      <c r="X24" s="72"/>
      <c r="Y24" s="118"/>
      <c r="Z24" s="72"/>
      <c r="AA24" s="72"/>
      <c r="AB24" s="118"/>
      <c r="AC24" s="72"/>
      <c r="AD24" s="72"/>
      <c r="AE24" s="118"/>
      <c r="AF24" s="72"/>
      <c r="AG24" s="72"/>
      <c r="AH24" s="118"/>
      <c r="AI24" s="72"/>
      <c r="AJ24" s="72"/>
      <c r="AK24" s="118"/>
      <c r="AL24" s="70" t="s">
        <v>355</v>
      </c>
      <c r="AM24" s="81" t="s">
        <v>356</v>
      </c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</row>
    <row r="25" spans="1:52" ht="13.9" customHeight="1" x14ac:dyDescent="0.35">
      <c r="A25" s="137"/>
      <c r="B25" s="104"/>
      <c r="C25" s="80" t="s">
        <v>598</v>
      </c>
      <c r="D25" s="80" t="s">
        <v>563</v>
      </c>
      <c r="E25" s="80" t="s">
        <v>611</v>
      </c>
      <c r="F25" s="80"/>
      <c r="G25" s="133"/>
      <c r="H25" s="106" t="s">
        <v>611</v>
      </c>
      <c r="I25" s="80"/>
      <c r="J25" s="133"/>
      <c r="K25" s="72" t="s">
        <v>611</v>
      </c>
      <c r="L25" s="72"/>
      <c r="M25" s="118"/>
      <c r="N25" s="72" t="s">
        <v>611</v>
      </c>
      <c r="O25" s="72"/>
      <c r="P25" s="118"/>
      <c r="Q25" s="72" t="s">
        <v>611</v>
      </c>
      <c r="R25" s="72"/>
      <c r="S25" s="118"/>
      <c r="T25" s="72"/>
      <c r="U25" s="72"/>
      <c r="V25" s="118"/>
      <c r="W25" s="72"/>
      <c r="X25" s="72"/>
      <c r="Y25" s="118"/>
      <c r="Z25" s="72"/>
      <c r="AA25" s="72"/>
      <c r="AB25" s="118"/>
      <c r="AC25" s="72"/>
      <c r="AD25" s="72"/>
      <c r="AE25" s="118"/>
      <c r="AF25" s="72"/>
      <c r="AG25" s="72"/>
      <c r="AH25" s="118"/>
      <c r="AI25" s="72"/>
      <c r="AJ25" s="72"/>
      <c r="AK25" s="118"/>
      <c r="AL25" s="70"/>
      <c r="AM25" s="81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</row>
    <row r="26" spans="1:52" ht="13.9" customHeight="1" x14ac:dyDescent="0.35">
      <c r="A26" s="137"/>
      <c r="B26" s="130" t="s">
        <v>581</v>
      </c>
      <c r="C26" s="80" t="s">
        <v>533</v>
      </c>
      <c r="D26" s="80" t="s">
        <v>1</v>
      </c>
      <c r="E26" s="80">
        <v>205</v>
      </c>
      <c r="F26" s="80"/>
      <c r="G26" s="133"/>
      <c r="H26" s="80">
        <v>260</v>
      </c>
      <c r="I26" s="80"/>
      <c r="J26" s="133"/>
      <c r="K26" s="72">
        <v>281</v>
      </c>
      <c r="L26" s="72"/>
      <c r="M26" s="118"/>
      <c r="N26" s="72">
        <v>270</v>
      </c>
      <c r="O26" s="72"/>
      <c r="P26" s="118"/>
      <c r="Q26" s="72"/>
      <c r="R26" s="72"/>
      <c r="S26" s="118"/>
      <c r="T26" s="72"/>
      <c r="U26" s="72"/>
      <c r="V26" s="118"/>
      <c r="W26" s="72"/>
      <c r="X26" s="72"/>
      <c r="Y26" s="118"/>
      <c r="Z26" s="72"/>
      <c r="AA26" s="72"/>
      <c r="AB26" s="118"/>
      <c r="AC26" s="72"/>
      <c r="AD26" s="72"/>
      <c r="AE26" s="118"/>
      <c r="AF26" s="72"/>
      <c r="AG26" s="72"/>
      <c r="AH26" s="118"/>
      <c r="AI26" s="72"/>
      <c r="AJ26" s="72"/>
      <c r="AK26" s="118"/>
      <c r="AL26" s="70"/>
      <c r="AM26" s="81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</row>
    <row r="27" spans="1:52" ht="13.9" customHeight="1" x14ac:dyDescent="0.35">
      <c r="A27" s="137"/>
      <c r="B27" s="133"/>
      <c r="C27" s="80" t="s">
        <v>534</v>
      </c>
      <c r="D27" s="80" t="s">
        <v>142</v>
      </c>
      <c r="E27" s="80">
        <v>8.4</v>
      </c>
      <c r="F27" s="80"/>
      <c r="G27" s="133"/>
      <c r="H27" s="80">
        <v>7.79</v>
      </c>
      <c r="I27" s="80"/>
      <c r="J27" s="133"/>
      <c r="K27" s="72">
        <v>7.3159999999999998</v>
      </c>
      <c r="L27" s="72"/>
      <c r="M27" s="118"/>
      <c r="N27" s="72">
        <v>7.93</v>
      </c>
      <c r="O27" s="72"/>
      <c r="P27" s="118"/>
      <c r="Q27" s="72">
        <v>8.14</v>
      </c>
      <c r="R27" s="72"/>
      <c r="S27" s="118"/>
      <c r="T27" s="72">
        <v>8.4</v>
      </c>
      <c r="U27" s="72"/>
      <c r="V27" s="118"/>
      <c r="W27" s="72">
        <v>7.6</v>
      </c>
      <c r="X27" s="72"/>
      <c r="Y27" s="118"/>
      <c r="Z27" s="72"/>
      <c r="AA27" s="72"/>
      <c r="AB27" s="118"/>
      <c r="AC27" s="72"/>
      <c r="AD27" s="72"/>
      <c r="AE27" s="118"/>
      <c r="AF27" s="72"/>
      <c r="AG27" s="72"/>
      <c r="AH27" s="118"/>
      <c r="AI27" s="72"/>
      <c r="AJ27" s="72"/>
      <c r="AK27" s="118"/>
      <c r="AL27" s="70"/>
      <c r="AM27" s="81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</row>
    <row r="28" spans="1:52" ht="13.9" customHeight="1" x14ac:dyDescent="0.35">
      <c r="A28" s="137"/>
      <c r="B28" s="133"/>
      <c r="C28" s="80" t="s">
        <v>605</v>
      </c>
      <c r="D28" s="80"/>
      <c r="E28" s="80">
        <v>4</v>
      </c>
      <c r="F28" s="80"/>
      <c r="G28" s="133"/>
      <c r="H28" s="80">
        <v>4</v>
      </c>
      <c r="I28" s="80"/>
      <c r="J28" s="133"/>
      <c r="K28" s="72">
        <v>3</v>
      </c>
      <c r="L28" s="72"/>
      <c r="M28" s="118"/>
      <c r="N28" s="72">
        <v>3</v>
      </c>
      <c r="O28" s="72"/>
      <c r="P28" s="118"/>
      <c r="Q28" s="72">
        <v>3</v>
      </c>
      <c r="R28" s="72"/>
      <c r="S28" s="118"/>
      <c r="T28" s="72">
        <v>3</v>
      </c>
      <c r="U28" s="72"/>
      <c r="V28" s="118"/>
      <c r="W28" s="72">
        <v>3</v>
      </c>
      <c r="X28" s="72"/>
      <c r="Y28" s="118"/>
      <c r="Z28" s="72"/>
      <c r="AA28" s="72"/>
      <c r="AB28" s="118"/>
      <c r="AC28" s="72"/>
      <c r="AD28" s="72"/>
      <c r="AE28" s="118"/>
      <c r="AF28" s="72"/>
      <c r="AG28" s="72"/>
      <c r="AH28" s="118"/>
      <c r="AI28" s="72"/>
      <c r="AJ28" s="72"/>
      <c r="AK28" s="118"/>
      <c r="AL28" s="70"/>
      <c r="AM28" s="81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</row>
    <row r="29" spans="1:52" s="14" customFormat="1" ht="14.25" customHeight="1" x14ac:dyDescent="0.25">
      <c r="A29" s="137"/>
      <c r="B29" s="131"/>
      <c r="C29" s="80" t="s">
        <v>609</v>
      </c>
      <c r="D29" s="80" t="s">
        <v>544</v>
      </c>
      <c r="E29" s="80" t="s">
        <v>596</v>
      </c>
      <c r="F29" s="80"/>
      <c r="G29" s="131"/>
      <c r="H29" s="80" t="s">
        <v>583</v>
      </c>
      <c r="I29" s="80"/>
      <c r="J29" s="131"/>
      <c r="K29" s="73" t="s">
        <v>583</v>
      </c>
      <c r="L29" s="73"/>
      <c r="M29" s="125"/>
      <c r="N29" s="73" t="s">
        <v>583</v>
      </c>
      <c r="O29" s="73"/>
      <c r="P29" s="125"/>
      <c r="Q29" s="73" t="s">
        <v>583</v>
      </c>
      <c r="R29" s="73"/>
      <c r="S29" s="125"/>
      <c r="T29" s="72"/>
      <c r="U29" s="72"/>
      <c r="V29" s="125"/>
      <c r="W29" s="72"/>
      <c r="X29" s="72"/>
      <c r="Y29" s="125"/>
      <c r="Z29" s="73"/>
      <c r="AA29" s="73"/>
      <c r="AB29" s="125"/>
      <c r="AC29" s="73"/>
      <c r="AD29" s="73"/>
      <c r="AE29" s="125"/>
      <c r="AF29" s="73"/>
      <c r="AG29" s="73"/>
      <c r="AH29" s="125"/>
      <c r="AI29" s="72"/>
      <c r="AJ29" s="72"/>
      <c r="AK29" s="125"/>
      <c r="AL29" s="84" t="s">
        <v>358</v>
      </c>
      <c r="AM29" s="85" t="s">
        <v>359</v>
      </c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</row>
    <row r="30" spans="1:52" s="14" customFormat="1" ht="14.25" customHeight="1" x14ac:dyDescent="0.25">
      <c r="A30" s="137"/>
      <c r="B30" s="130" t="s">
        <v>330</v>
      </c>
      <c r="C30" s="80" t="s">
        <v>350</v>
      </c>
      <c r="D30" s="80"/>
      <c r="E30" s="80" t="s">
        <v>670</v>
      </c>
      <c r="F30" s="80"/>
      <c r="G30" s="82"/>
      <c r="H30" s="80" t="s">
        <v>576</v>
      </c>
      <c r="I30" s="80"/>
      <c r="J30" s="82"/>
      <c r="K30" s="73" t="s">
        <v>576</v>
      </c>
      <c r="L30" s="73"/>
      <c r="M30" s="83"/>
      <c r="N30" s="73" t="s">
        <v>576</v>
      </c>
      <c r="O30" s="73"/>
      <c r="P30" s="83"/>
      <c r="Q30" s="73" t="s">
        <v>686</v>
      </c>
      <c r="R30" s="73"/>
      <c r="S30" s="83"/>
      <c r="T30" s="72" t="s">
        <v>591</v>
      </c>
      <c r="U30" s="72"/>
      <c r="V30" s="83"/>
      <c r="W30" s="72" t="s">
        <v>576</v>
      </c>
      <c r="X30" s="72"/>
      <c r="Y30" s="83"/>
      <c r="Z30" s="73"/>
      <c r="AA30" s="73"/>
      <c r="AB30" s="83"/>
      <c r="AC30" s="73"/>
      <c r="AD30" s="73"/>
      <c r="AE30" s="83"/>
      <c r="AF30" s="73"/>
      <c r="AG30" s="73"/>
      <c r="AH30" s="83"/>
      <c r="AI30" s="72"/>
      <c r="AJ30" s="72"/>
      <c r="AK30" s="83"/>
      <c r="AL30" s="84"/>
      <c r="AM30" s="85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</row>
    <row r="31" spans="1:52" ht="14.25" customHeight="1" x14ac:dyDescent="0.35">
      <c r="A31" s="137"/>
      <c r="B31" s="133"/>
      <c r="C31" s="80" t="s">
        <v>536</v>
      </c>
      <c r="D31" s="80" t="s">
        <v>3</v>
      </c>
      <c r="E31" s="80">
        <v>231</v>
      </c>
      <c r="F31" s="80"/>
      <c r="G31" s="130"/>
      <c r="H31" s="80">
        <v>209</v>
      </c>
      <c r="I31" s="80"/>
      <c r="J31" s="130"/>
      <c r="K31" s="73">
        <v>205</v>
      </c>
      <c r="L31" s="73"/>
      <c r="M31" s="123"/>
      <c r="N31" s="108">
        <v>173</v>
      </c>
      <c r="O31" s="72"/>
      <c r="P31" s="122"/>
      <c r="Q31" s="116">
        <v>188</v>
      </c>
      <c r="R31" s="72"/>
      <c r="S31" s="122"/>
      <c r="T31" s="72">
        <v>194</v>
      </c>
      <c r="U31" s="72"/>
      <c r="V31" s="122"/>
      <c r="W31" s="72">
        <v>209</v>
      </c>
      <c r="X31" s="72"/>
      <c r="Y31" s="122"/>
      <c r="Z31" s="72"/>
      <c r="AA31" s="72"/>
      <c r="AB31" s="122"/>
      <c r="AC31" s="72"/>
      <c r="AD31" s="72"/>
      <c r="AE31" s="122"/>
      <c r="AF31" s="72"/>
      <c r="AG31" s="72"/>
      <c r="AH31" s="122"/>
      <c r="AI31" s="72"/>
      <c r="AJ31" s="72"/>
      <c r="AK31" s="122"/>
      <c r="AL31" s="70" t="s">
        <v>361</v>
      </c>
      <c r="AM31" s="81" t="s">
        <v>362</v>
      </c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</row>
    <row r="32" spans="1:52" ht="14.25" customHeight="1" x14ac:dyDescent="0.35">
      <c r="A32" s="137"/>
      <c r="B32" s="133"/>
      <c r="C32" s="80" t="s">
        <v>535</v>
      </c>
      <c r="D32" s="80" t="s">
        <v>542</v>
      </c>
      <c r="E32" s="80">
        <v>1526</v>
      </c>
      <c r="F32" s="80"/>
      <c r="G32" s="133"/>
      <c r="H32" s="80">
        <v>1152</v>
      </c>
      <c r="I32" s="80"/>
      <c r="J32" s="133"/>
      <c r="K32" s="73">
        <v>990</v>
      </c>
      <c r="L32" s="73"/>
      <c r="M32" s="121"/>
      <c r="N32" s="108">
        <v>949</v>
      </c>
      <c r="O32" s="72"/>
      <c r="P32" s="118"/>
      <c r="Q32" s="116">
        <v>1186</v>
      </c>
      <c r="R32" s="72"/>
      <c r="S32" s="118"/>
      <c r="T32" s="72">
        <v>990</v>
      </c>
      <c r="U32" s="72"/>
      <c r="V32" s="118"/>
      <c r="W32" s="72">
        <v>1288</v>
      </c>
      <c r="X32" s="72"/>
      <c r="Y32" s="118"/>
      <c r="Z32" s="72"/>
      <c r="AA32" s="72"/>
      <c r="AB32" s="118"/>
      <c r="AC32" s="72"/>
      <c r="AD32" s="72"/>
      <c r="AE32" s="118"/>
      <c r="AF32" s="72"/>
      <c r="AG32" s="72"/>
      <c r="AH32" s="118"/>
      <c r="AI32" s="72"/>
      <c r="AJ32" s="72"/>
      <c r="AK32" s="118"/>
      <c r="AL32" s="70"/>
      <c r="AM32" s="81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</row>
    <row r="33" spans="1:52" ht="14.25" customHeight="1" x14ac:dyDescent="0.35">
      <c r="A33" s="137"/>
      <c r="B33" s="133"/>
      <c r="C33" s="80" t="s">
        <v>589</v>
      </c>
      <c r="D33" s="80" t="s">
        <v>590</v>
      </c>
      <c r="E33" s="80">
        <v>305</v>
      </c>
      <c r="F33" s="80"/>
      <c r="G33" s="133"/>
      <c r="H33" s="80">
        <v>300</v>
      </c>
      <c r="I33" s="80"/>
      <c r="J33" s="133"/>
      <c r="K33" s="73">
        <v>271</v>
      </c>
      <c r="L33" s="73"/>
      <c r="M33" s="121"/>
      <c r="N33" s="108">
        <v>284</v>
      </c>
      <c r="O33" s="72"/>
      <c r="P33" s="118"/>
      <c r="Q33" s="116">
        <v>350</v>
      </c>
      <c r="R33" s="72"/>
      <c r="S33" s="118"/>
      <c r="T33" s="72">
        <v>300</v>
      </c>
      <c r="U33" s="72"/>
      <c r="V33" s="118"/>
      <c r="W33" s="72">
        <v>350</v>
      </c>
      <c r="X33" s="72"/>
      <c r="Y33" s="118"/>
      <c r="Z33" s="72"/>
      <c r="AA33" s="72"/>
      <c r="AB33" s="118"/>
      <c r="AC33" s="72"/>
      <c r="AD33" s="72"/>
      <c r="AE33" s="118"/>
      <c r="AF33" s="72"/>
      <c r="AG33" s="72"/>
      <c r="AH33" s="118"/>
      <c r="AI33" s="72"/>
      <c r="AJ33" s="72"/>
      <c r="AK33" s="118"/>
      <c r="AL33" s="70"/>
      <c r="AM33" s="81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</row>
    <row r="34" spans="1:52" ht="14.25" customHeight="1" x14ac:dyDescent="0.35">
      <c r="A34" s="137"/>
      <c r="B34" s="133"/>
      <c r="C34" s="80" t="s">
        <v>588</v>
      </c>
      <c r="D34" s="80"/>
      <c r="E34" s="80" t="s">
        <v>671</v>
      </c>
      <c r="F34" s="80"/>
      <c r="G34" s="133"/>
      <c r="H34" s="80"/>
      <c r="I34" s="80"/>
      <c r="J34" s="133"/>
      <c r="K34" s="73"/>
      <c r="L34" s="73"/>
      <c r="M34" s="121"/>
      <c r="N34" s="108"/>
      <c r="O34" s="72"/>
      <c r="P34" s="118"/>
      <c r="Q34" s="116"/>
      <c r="R34" s="72"/>
      <c r="S34" s="118"/>
      <c r="T34" s="72" t="s">
        <v>666</v>
      </c>
      <c r="U34" s="72"/>
      <c r="V34" s="118"/>
      <c r="W34" s="72" t="s">
        <v>666</v>
      </c>
      <c r="X34" s="72"/>
      <c r="Y34" s="118"/>
      <c r="Z34" s="72"/>
      <c r="AA34" s="72"/>
      <c r="AB34" s="118"/>
      <c r="AC34" s="72"/>
      <c r="AD34" s="72"/>
      <c r="AE34" s="118"/>
      <c r="AF34" s="72"/>
      <c r="AG34" s="72"/>
      <c r="AH34" s="118"/>
      <c r="AI34" s="72"/>
      <c r="AJ34" s="72"/>
      <c r="AK34" s="118"/>
      <c r="AL34" s="70"/>
      <c r="AM34" s="81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</row>
    <row r="35" spans="1:52" ht="14.25" customHeight="1" x14ac:dyDescent="0.35">
      <c r="A35" s="137"/>
      <c r="B35" s="133"/>
      <c r="C35" s="80" t="s">
        <v>540</v>
      </c>
      <c r="D35" s="80"/>
      <c r="E35" s="80">
        <v>6</v>
      </c>
      <c r="F35" s="80"/>
      <c r="G35" s="133"/>
      <c r="H35" s="80">
        <v>5</v>
      </c>
      <c r="I35" s="80"/>
      <c r="J35" s="133"/>
      <c r="K35" s="73">
        <v>6</v>
      </c>
      <c r="L35" s="73"/>
      <c r="M35" s="121"/>
      <c r="N35" s="108">
        <v>6</v>
      </c>
      <c r="O35" s="72"/>
      <c r="P35" s="118"/>
      <c r="Q35" s="116">
        <v>3</v>
      </c>
      <c r="R35" s="72"/>
      <c r="S35" s="118"/>
      <c r="T35" s="72">
        <v>6</v>
      </c>
      <c r="U35" s="72"/>
      <c r="V35" s="118"/>
      <c r="W35" s="72">
        <v>6</v>
      </c>
      <c r="X35" s="72"/>
      <c r="Y35" s="118"/>
      <c r="Z35" s="72"/>
      <c r="AA35" s="72"/>
      <c r="AB35" s="118"/>
      <c r="AC35" s="72"/>
      <c r="AD35" s="72"/>
      <c r="AE35" s="118"/>
      <c r="AF35" s="72"/>
      <c r="AG35" s="72"/>
      <c r="AH35" s="118"/>
      <c r="AI35" s="72"/>
      <c r="AJ35" s="72"/>
      <c r="AK35" s="118"/>
      <c r="AL35" s="70"/>
      <c r="AM35" s="81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</row>
    <row r="36" spans="1:52" ht="14.25" customHeight="1" x14ac:dyDescent="0.35">
      <c r="A36" s="137"/>
      <c r="B36" s="133"/>
      <c r="C36" s="80" t="s">
        <v>541</v>
      </c>
      <c r="D36" s="80"/>
      <c r="E36" s="80">
        <v>3</v>
      </c>
      <c r="F36" s="80"/>
      <c r="G36" s="133"/>
      <c r="H36" s="80">
        <v>2</v>
      </c>
      <c r="I36" s="80"/>
      <c r="J36" s="133"/>
      <c r="K36" s="73">
        <v>6</v>
      </c>
      <c r="L36" s="73"/>
      <c r="M36" s="121"/>
      <c r="N36" s="108">
        <v>6</v>
      </c>
      <c r="O36" s="72"/>
      <c r="P36" s="118"/>
      <c r="Q36" s="116">
        <v>1</v>
      </c>
      <c r="R36" s="72"/>
      <c r="S36" s="118"/>
      <c r="T36" s="72">
        <v>6</v>
      </c>
      <c r="U36" s="72"/>
      <c r="V36" s="118"/>
      <c r="W36" s="72">
        <v>6</v>
      </c>
      <c r="X36" s="72"/>
      <c r="Y36" s="118"/>
      <c r="Z36" s="72"/>
      <c r="AA36" s="72"/>
      <c r="AB36" s="118"/>
      <c r="AC36" s="72"/>
      <c r="AD36" s="72"/>
      <c r="AE36" s="118"/>
      <c r="AF36" s="72"/>
      <c r="AG36" s="72"/>
      <c r="AH36" s="118"/>
      <c r="AI36" s="72"/>
      <c r="AJ36" s="72"/>
      <c r="AK36" s="118"/>
      <c r="AL36" s="70"/>
      <c r="AM36" s="81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</row>
    <row r="37" spans="1:52" ht="14.25" customHeight="1" x14ac:dyDescent="0.35">
      <c r="A37" s="137"/>
      <c r="B37" s="133"/>
      <c r="C37" s="80" t="s">
        <v>543</v>
      </c>
      <c r="D37" s="80" t="s">
        <v>544</v>
      </c>
      <c r="E37" s="80" t="s">
        <v>583</v>
      </c>
      <c r="F37" s="80"/>
      <c r="G37" s="133"/>
      <c r="H37" s="80" t="s">
        <v>583</v>
      </c>
      <c r="I37" s="80"/>
      <c r="J37" s="133"/>
      <c r="K37" s="73" t="s">
        <v>583</v>
      </c>
      <c r="L37" s="73"/>
      <c r="M37" s="121"/>
      <c r="N37" s="108" t="s">
        <v>583</v>
      </c>
      <c r="O37" s="72"/>
      <c r="P37" s="118"/>
      <c r="Q37" s="116"/>
      <c r="R37" s="72"/>
      <c r="S37" s="118"/>
      <c r="T37" s="72" t="s">
        <v>583</v>
      </c>
      <c r="U37" s="72"/>
      <c r="V37" s="118"/>
      <c r="W37" s="72" t="s">
        <v>583</v>
      </c>
      <c r="X37" s="72"/>
      <c r="Y37" s="118"/>
      <c r="Z37" s="72"/>
      <c r="AA37" s="72"/>
      <c r="AB37" s="118"/>
      <c r="AC37" s="72"/>
      <c r="AD37" s="72"/>
      <c r="AE37" s="118"/>
      <c r="AF37" s="72"/>
      <c r="AG37" s="72"/>
      <c r="AH37" s="118"/>
      <c r="AI37" s="72"/>
      <c r="AJ37" s="72"/>
      <c r="AK37" s="118"/>
      <c r="AL37" s="70"/>
      <c r="AM37" s="81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</row>
    <row r="38" spans="1:52" ht="14.25" customHeight="1" x14ac:dyDescent="0.35">
      <c r="A38" s="137"/>
      <c r="B38" s="133"/>
      <c r="C38" s="80" t="s">
        <v>593</v>
      </c>
      <c r="D38" s="80"/>
      <c r="E38" s="80">
        <v>2</v>
      </c>
      <c r="F38" s="80"/>
      <c r="G38" s="133"/>
      <c r="H38" s="80">
        <v>2</v>
      </c>
      <c r="I38" s="80"/>
      <c r="J38" s="133"/>
      <c r="K38" s="73">
        <v>2</v>
      </c>
      <c r="L38" s="73"/>
      <c r="M38" s="121"/>
      <c r="N38" s="108">
        <v>2</v>
      </c>
      <c r="O38" s="72"/>
      <c r="P38" s="118"/>
      <c r="Q38" s="116">
        <v>2</v>
      </c>
      <c r="R38" s="72"/>
      <c r="S38" s="118"/>
      <c r="T38" s="72">
        <v>2</v>
      </c>
      <c r="U38" s="72"/>
      <c r="V38" s="118"/>
      <c r="W38" s="72">
        <v>2</v>
      </c>
      <c r="X38" s="72"/>
      <c r="Y38" s="118"/>
      <c r="Z38" s="72"/>
      <c r="AA38" s="72"/>
      <c r="AB38" s="118"/>
      <c r="AC38" s="72"/>
      <c r="AD38" s="72"/>
      <c r="AE38" s="118"/>
      <c r="AF38" s="72"/>
      <c r="AG38" s="72"/>
      <c r="AH38" s="118"/>
      <c r="AI38" s="72"/>
      <c r="AJ38" s="72"/>
      <c r="AK38" s="118"/>
      <c r="AL38" s="70"/>
      <c r="AM38" s="81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</row>
    <row r="39" spans="1:52" ht="14.25" customHeight="1" x14ac:dyDescent="0.35">
      <c r="A39" s="137"/>
      <c r="B39" s="133"/>
      <c r="C39" s="80" t="s">
        <v>594</v>
      </c>
      <c r="D39" s="80"/>
      <c r="E39" s="80">
        <v>2</v>
      </c>
      <c r="F39" s="80"/>
      <c r="G39" s="133"/>
      <c r="H39" s="80">
        <v>2</v>
      </c>
      <c r="I39" s="80"/>
      <c r="J39" s="133"/>
      <c r="K39" s="73">
        <v>2</v>
      </c>
      <c r="L39" s="73"/>
      <c r="M39" s="121"/>
      <c r="N39" s="108">
        <v>2</v>
      </c>
      <c r="O39" s="72"/>
      <c r="P39" s="118"/>
      <c r="Q39" s="116">
        <v>2</v>
      </c>
      <c r="R39" s="72"/>
      <c r="S39" s="118"/>
      <c r="T39" s="72">
        <v>2</v>
      </c>
      <c r="U39" s="72"/>
      <c r="V39" s="118"/>
      <c r="W39" s="72">
        <v>2</v>
      </c>
      <c r="X39" s="72"/>
      <c r="Y39" s="118"/>
      <c r="Z39" s="72"/>
      <c r="AA39" s="72"/>
      <c r="AB39" s="118"/>
      <c r="AC39" s="72"/>
      <c r="AD39" s="72"/>
      <c r="AE39" s="118"/>
      <c r="AF39" s="72"/>
      <c r="AG39" s="72"/>
      <c r="AH39" s="118"/>
      <c r="AI39" s="72"/>
      <c r="AJ39" s="72"/>
      <c r="AK39" s="118"/>
      <c r="AL39" s="70"/>
      <c r="AM39" s="81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</row>
    <row r="40" spans="1:52" ht="14.25" customHeight="1" x14ac:dyDescent="0.35">
      <c r="A40" s="137"/>
      <c r="B40" s="133"/>
      <c r="C40" s="80" t="s">
        <v>595</v>
      </c>
      <c r="D40" s="80"/>
      <c r="E40" s="80">
        <v>2</v>
      </c>
      <c r="F40" s="80"/>
      <c r="G40" s="133"/>
      <c r="H40" s="80">
        <v>2</v>
      </c>
      <c r="I40" s="80"/>
      <c r="J40" s="133"/>
      <c r="K40" s="73">
        <v>2</v>
      </c>
      <c r="L40" s="73"/>
      <c r="M40" s="121"/>
      <c r="N40" s="108">
        <v>2</v>
      </c>
      <c r="O40" s="72"/>
      <c r="P40" s="118"/>
      <c r="Q40" s="116">
        <v>2</v>
      </c>
      <c r="R40" s="72"/>
      <c r="S40" s="118"/>
      <c r="T40" s="72">
        <v>2</v>
      </c>
      <c r="U40" s="72"/>
      <c r="V40" s="118"/>
      <c r="W40" s="72">
        <v>2</v>
      </c>
      <c r="X40" s="72"/>
      <c r="Y40" s="118"/>
      <c r="Z40" s="72"/>
      <c r="AA40" s="72"/>
      <c r="AB40" s="118"/>
      <c r="AC40" s="72"/>
      <c r="AD40" s="72"/>
      <c r="AE40" s="118"/>
      <c r="AF40" s="72"/>
      <c r="AG40" s="72"/>
      <c r="AH40" s="118"/>
      <c r="AI40" s="72"/>
      <c r="AJ40" s="72"/>
      <c r="AK40" s="118"/>
      <c r="AL40" s="70"/>
      <c r="AM40" s="81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</row>
    <row r="41" spans="1:52" x14ac:dyDescent="0.35">
      <c r="A41" s="137"/>
      <c r="B41" s="131"/>
      <c r="C41" s="80" t="s">
        <v>545</v>
      </c>
      <c r="D41" s="80" t="s">
        <v>544</v>
      </c>
      <c r="E41" s="72" t="s">
        <v>583</v>
      </c>
      <c r="F41" s="72"/>
      <c r="G41" s="131"/>
      <c r="H41" s="72"/>
      <c r="I41" s="72"/>
      <c r="J41" s="131"/>
      <c r="K41" s="72"/>
      <c r="L41" s="72"/>
      <c r="M41" s="132"/>
      <c r="N41" s="108"/>
      <c r="O41" s="72"/>
      <c r="P41" s="125"/>
      <c r="Q41" s="116" t="s">
        <v>687</v>
      </c>
      <c r="R41" s="72"/>
      <c r="S41" s="125"/>
      <c r="T41" s="72">
        <v>2</v>
      </c>
      <c r="U41" s="72"/>
      <c r="V41" s="125"/>
      <c r="W41" s="72"/>
      <c r="X41" s="72"/>
      <c r="Y41" s="125"/>
      <c r="Z41" s="72"/>
      <c r="AA41" s="72"/>
      <c r="AB41" s="125"/>
      <c r="AC41" s="72"/>
      <c r="AD41" s="72"/>
      <c r="AE41" s="125"/>
      <c r="AF41" s="72"/>
      <c r="AG41" s="72"/>
      <c r="AH41" s="125"/>
      <c r="AI41" s="72"/>
      <c r="AJ41" s="72"/>
      <c r="AK41" s="125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</row>
    <row r="42" spans="1:52" ht="13.9" customHeight="1" x14ac:dyDescent="0.35">
      <c r="A42" s="137"/>
      <c r="B42" s="126" t="s">
        <v>610</v>
      </c>
      <c r="C42" s="80" t="s">
        <v>538</v>
      </c>
      <c r="D42" s="80" t="s">
        <v>19</v>
      </c>
      <c r="E42" s="80">
        <v>99</v>
      </c>
      <c r="F42" s="80"/>
      <c r="G42" s="80"/>
      <c r="H42" s="80">
        <v>70.7</v>
      </c>
      <c r="I42" s="80"/>
      <c r="J42" s="80"/>
      <c r="K42" s="72">
        <v>76.3</v>
      </c>
      <c r="L42" s="72"/>
      <c r="M42" s="72"/>
      <c r="N42" s="109">
        <v>71.2</v>
      </c>
      <c r="O42" s="72"/>
      <c r="P42" s="72"/>
      <c r="Q42" s="72">
        <v>74</v>
      </c>
      <c r="R42" s="72"/>
      <c r="S42" s="72"/>
      <c r="T42" s="72">
        <v>83.4</v>
      </c>
      <c r="U42" s="72"/>
      <c r="V42" s="72"/>
      <c r="W42" s="72">
        <v>68.900000000000006</v>
      </c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</row>
    <row r="43" spans="1:52" ht="13.9" customHeight="1" x14ac:dyDescent="0.35">
      <c r="A43" s="137"/>
      <c r="B43" s="126"/>
      <c r="C43" s="80" t="s">
        <v>539</v>
      </c>
      <c r="D43" s="80" t="s">
        <v>19</v>
      </c>
      <c r="E43" s="80">
        <v>71</v>
      </c>
      <c r="F43" s="80"/>
      <c r="G43" s="80"/>
      <c r="H43" s="80">
        <v>70.7</v>
      </c>
      <c r="I43" s="80"/>
      <c r="J43" s="80"/>
      <c r="K43" s="72">
        <v>76.3</v>
      </c>
      <c r="L43" s="72"/>
      <c r="M43" s="72"/>
      <c r="N43" s="109">
        <v>71.2</v>
      </c>
      <c r="O43" s="72"/>
      <c r="P43" s="72"/>
      <c r="Q43" s="72">
        <v>74</v>
      </c>
      <c r="R43" s="72"/>
      <c r="S43" s="72"/>
      <c r="T43" s="72">
        <v>83.5</v>
      </c>
      <c r="U43" s="72"/>
      <c r="V43" s="72"/>
      <c r="W43" s="72">
        <v>68.900000000000006</v>
      </c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</row>
    <row r="44" spans="1:52" ht="13.9" customHeight="1" x14ac:dyDescent="0.35">
      <c r="A44" s="137"/>
      <c r="B44" s="126"/>
      <c r="C44" s="80" t="s">
        <v>569</v>
      </c>
      <c r="D44" s="80" t="s">
        <v>627</v>
      </c>
      <c r="E44" s="80">
        <v>135</v>
      </c>
      <c r="F44" s="80"/>
      <c r="G44" s="80"/>
      <c r="H44" s="80">
        <v>145</v>
      </c>
      <c r="I44" s="80"/>
      <c r="J44" s="80"/>
      <c r="K44" s="72">
        <v>148</v>
      </c>
      <c r="L44" s="72"/>
      <c r="M44" s="72"/>
      <c r="N44" s="109">
        <v>108</v>
      </c>
      <c r="O44" s="72"/>
      <c r="P44" s="72"/>
      <c r="Q44" s="72">
        <v>125</v>
      </c>
      <c r="R44" s="72"/>
      <c r="S44" s="72"/>
      <c r="T44" s="72">
        <v>130</v>
      </c>
      <c r="U44" s="72"/>
      <c r="V44" s="72"/>
      <c r="W44" s="72">
        <v>145</v>
      </c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</row>
    <row r="45" spans="1:52" ht="15.75" customHeight="1" thickBot="1" x14ac:dyDescent="0.4">
      <c r="A45" s="137"/>
      <c r="B45" s="126"/>
      <c r="C45" s="80" t="s">
        <v>570</v>
      </c>
      <c r="D45" s="80" t="s">
        <v>627</v>
      </c>
      <c r="E45" s="80">
        <v>90</v>
      </c>
      <c r="F45" s="80"/>
      <c r="G45" s="80"/>
      <c r="H45" s="80">
        <v>206</v>
      </c>
      <c r="I45" s="80"/>
      <c r="J45" s="80"/>
      <c r="K45" s="72">
        <v>148</v>
      </c>
      <c r="L45" s="72"/>
      <c r="M45" s="72"/>
      <c r="N45" s="109">
        <v>108</v>
      </c>
      <c r="O45" s="72"/>
      <c r="P45" s="72"/>
      <c r="Q45" s="72">
        <v>125</v>
      </c>
      <c r="R45" s="72"/>
      <c r="S45" s="72"/>
      <c r="T45" s="72">
        <v>130</v>
      </c>
      <c r="U45" s="72"/>
      <c r="V45" s="72"/>
      <c r="W45" s="72">
        <v>145</v>
      </c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</row>
    <row r="46" spans="1:52" ht="28.5" customHeight="1" x14ac:dyDescent="0.35">
      <c r="A46" s="137"/>
      <c r="B46" s="126" t="s">
        <v>546</v>
      </c>
      <c r="C46" s="80" t="s">
        <v>547</v>
      </c>
      <c r="D46" s="80" t="s">
        <v>0</v>
      </c>
      <c r="E46" s="72">
        <v>110000</v>
      </c>
      <c r="F46" s="72"/>
      <c r="G46" s="122"/>
      <c r="H46" s="72">
        <v>90718</v>
      </c>
      <c r="I46" s="72"/>
      <c r="J46" s="122"/>
      <c r="K46" s="72">
        <v>80825</v>
      </c>
      <c r="L46" s="72"/>
      <c r="M46" s="122"/>
      <c r="N46" s="109">
        <v>74650</v>
      </c>
      <c r="O46" s="72"/>
      <c r="P46" s="122"/>
      <c r="Q46" s="72">
        <v>69500</v>
      </c>
      <c r="R46" s="72"/>
      <c r="S46" s="122"/>
      <c r="T46" s="72">
        <v>70000</v>
      </c>
      <c r="U46" s="72"/>
      <c r="V46" s="122"/>
      <c r="W46" s="72">
        <v>81646</v>
      </c>
      <c r="X46" s="72"/>
      <c r="Y46" s="122"/>
      <c r="Z46" s="73"/>
      <c r="AA46" s="73"/>
      <c r="AB46" s="123"/>
      <c r="AC46" s="73"/>
      <c r="AD46" s="73"/>
      <c r="AE46" s="123"/>
      <c r="AF46" s="73"/>
      <c r="AG46" s="73"/>
      <c r="AH46" s="123"/>
      <c r="AI46" s="72"/>
      <c r="AJ46" s="72"/>
      <c r="AK46" s="122"/>
      <c r="AL46" s="70"/>
      <c r="AM46" s="86"/>
      <c r="AN46" s="87" t="s">
        <v>4</v>
      </c>
      <c r="AO46" s="87" t="s">
        <v>5</v>
      </c>
      <c r="AP46" s="87" t="s">
        <v>6</v>
      </c>
      <c r="AQ46" s="87" t="s">
        <v>7</v>
      </c>
      <c r="AR46" s="87" t="s">
        <v>8</v>
      </c>
      <c r="AS46" s="87" t="s">
        <v>9</v>
      </c>
      <c r="AT46" s="87" t="s">
        <v>10</v>
      </c>
      <c r="AU46" s="87" t="s">
        <v>11</v>
      </c>
      <c r="AV46" s="87" t="s">
        <v>12</v>
      </c>
      <c r="AW46" s="87" t="s">
        <v>13</v>
      </c>
      <c r="AX46" s="88" t="s">
        <v>14</v>
      </c>
      <c r="AY46" s="70"/>
      <c r="AZ46" s="70"/>
    </row>
    <row r="47" spans="1:52" ht="13.9" customHeight="1" x14ac:dyDescent="0.35">
      <c r="A47" s="137"/>
      <c r="B47" s="126"/>
      <c r="C47" s="80" t="s">
        <v>634</v>
      </c>
      <c r="D47" s="80" t="s">
        <v>0</v>
      </c>
      <c r="E47" s="80">
        <v>72000</v>
      </c>
      <c r="F47" s="80"/>
      <c r="G47" s="118"/>
      <c r="H47" s="80">
        <v>73482</v>
      </c>
      <c r="I47" s="80"/>
      <c r="J47" s="118"/>
      <c r="K47" s="72">
        <v>67975</v>
      </c>
      <c r="L47" s="72"/>
      <c r="M47" s="118"/>
      <c r="N47" s="109">
        <v>53550</v>
      </c>
      <c r="O47" s="72"/>
      <c r="P47" s="118"/>
      <c r="Q47" s="72">
        <v>62800</v>
      </c>
      <c r="R47" s="72"/>
      <c r="S47" s="118"/>
      <c r="T47" s="72">
        <v>65000</v>
      </c>
      <c r="U47" s="72"/>
      <c r="V47" s="118"/>
      <c r="W47" s="72">
        <v>60781</v>
      </c>
      <c r="X47" s="72"/>
      <c r="Y47" s="118"/>
      <c r="Z47" s="72"/>
      <c r="AA47" s="72"/>
      <c r="AB47" s="121"/>
      <c r="AC47" s="72"/>
      <c r="AD47" s="72"/>
      <c r="AE47" s="121"/>
      <c r="AF47" s="72"/>
      <c r="AG47" s="72"/>
      <c r="AH47" s="121"/>
      <c r="AI47" s="72"/>
      <c r="AJ47" s="72"/>
      <c r="AK47" s="118"/>
      <c r="AL47" s="70"/>
      <c r="AM47" s="89" t="s">
        <v>320</v>
      </c>
      <c r="AN47" s="90">
        <v>2</v>
      </c>
      <c r="AO47" s="90">
        <v>3</v>
      </c>
      <c r="AP47" s="90">
        <v>2.5</v>
      </c>
      <c r="AQ47" s="90">
        <v>3</v>
      </c>
      <c r="AR47" s="90">
        <v>2</v>
      </c>
      <c r="AS47" s="90">
        <v>3.5</v>
      </c>
      <c r="AT47" s="90">
        <v>3</v>
      </c>
      <c r="AU47" s="90">
        <v>3.5</v>
      </c>
      <c r="AV47" s="90">
        <v>2.5</v>
      </c>
      <c r="AW47" s="90">
        <v>2.5</v>
      </c>
      <c r="AX47" s="91">
        <v>2.5</v>
      </c>
      <c r="AY47" s="70"/>
      <c r="AZ47" s="70"/>
    </row>
    <row r="48" spans="1:52" ht="13.9" customHeight="1" x14ac:dyDescent="0.35">
      <c r="A48" s="137"/>
      <c r="B48" s="126"/>
      <c r="C48" s="80" t="s">
        <v>635</v>
      </c>
      <c r="D48" s="80" t="s">
        <v>0</v>
      </c>
      <c r="E48" s="80">
        <v>12500</v>
      </c>
      <c r="F48" s="80"/>
      <c r="G48" s="118"/>
      <c r="H48" s="80">
        <v>12791</v>
      </c>
      <c r="I48" s="80"/>
      <c r="J48" s="118"/>
      <c r="K48" s="72">
        <v>8795</v>
      </c>
      <c r="L48" s="72"/>
      <c r="M48" s="118"/>
      <c r="N48" s="109">
        <v>9450</v>
      </c>
      <c r="O48" s="72"/>
      <c r="P48" s="118"/>
      <c r="Q48" s="72">
        <v>12800</v>
      </c>
      <c r="R48" s="72"/>
      <c r="S48" s="118"/>
      <c r="T48" s="72">
        <v>10400</v>
      </c>
      <c r="U48" s="72"/>
      <c r="V48" s="118"/>
      <c r="W48" s="72">
        <v>8981</v>
      </c>
      <c r="X48" s="72"/>
      <c r="Y48" s="118"/>
      <c r="Z48" s="72"/>
      <c r="AA48" s="72"/>
      <c r="AB48" s="121"/>
      <c r="AC48" s="72"/>
      <c r="AD48" s="72"/>
      <c r="AE48" s="121"/>
      <c r="AF48" s="72"/>
      <c r="AG48" s="72"/>
      <c r="AH48" s="121"/>
      <c r="AI48" s="72"/>
      <c r="AJ48" s="72"/>
      <c r="AK48" s="118"/>
      <c r="AL48" s="70"/>
      <c r="AM48" s="89" t="s">
        <v>324</v>
      </c>
      <c r="AN48" s="90">
        <v>3</v>
      </c>
      <c r="AO48" s="90">
        <v>3</v>
      </c>
      <c r="AP48" s="90">
        <v>3</v>
      </c>
      <c r="AQ48" s="90">
        <v>3</v>
      </c>
      <c r="AR48" s="90">
        <v>3</v>
      </c>
      <c r="AS48" s="90">
        <v>3</v>
      </c>
      <c r="AT48" s="90">
        <v>3</v>
      </c>
      <c r="AU48" s="90">
        <v>3</v>
      </c>
      <c r="AV48" s="90">
        <v>3</v>
      </c>
      <c r="AW48" s="90">
        <v>3</v>
      </c>
      <c r="AX48" s="91">
        <v>3</v>
      </c>
      <c r="AY48" s="70"/>
      <c r="AZ48" s="70"/>
    </row>
    <row r="49" spans="1:52" ht="13.9" customHeight="1" x14ac:dyDescent="0.35">
      <c r="A49" s="137"/>
      <c r="B49" s="126"/>
      <c r="C49" s="80" t="s">
        <v>673</v>
      </c>
      <c r="D49" s="80" t="s">
        <v>0</v>
      </c>
      <c r="E49" s="80">
        <v>2700</v>
      </c>
      <c r="F49" s="80"/>
      <c r="G49" s="118"/>
      <c r="H49" s="80">
        <v>3583</v>
      </c>
      <c r="I49" s="80"/>
      <c r="J49" s="118"/>
      <c r="K49" s="72">
        <v>2070</v>
      </c>
      <c r="L49" s="72"/>
      <c r="M49" s="118"/>
      <c r="N49" s="109">
        <v>1950</v>
      </c>
      <c r="O49" s="72"/>
      <c r="P49" s="118"/>
      <c r="Q49" s="72">
        <v>3500</v>
      </c>
      <c r="R49" s="72"/>
      <c r="S49" s="118"/>
      <c r="T49" s="72">
        <v>1700</v>
      </c>
      <c r="U49" s="72"/>
      <c r="V49" s="118"/>
      <c r="W49" s="72">
        <v>1996</v>
      </c>
      <c r="X49" s="72"/>
      <c r="Y49" s="118"/>
      <c r="Z49" s="72"/>
      <c r="AA49" s="72"/>
      <c r="AB49" s="121"/>
      <c r="AC49" s="72"/>
      <c r="AD49" s="72"/>
      <c r="AE49" s="121"/>
      <c r="AF49" s="72"/>
      <c r="AG49" s="72"/>
      <c r="AH49" s="121"/>
      <c r="AI49" s="72"/>
      <c r="AJ49" s="72"/>
      <c r="AK49" s="118"/>
      <c r="AL49" s="70"/>
      <c r="AM49" s="89" t="s">
        <v>374</v>
      </c>
      <c r="AN49" s="90">
        <v>3.3</v>
      </c>
      <c r="AO49" s="90">
        <v>3</v>
      </c>
      <c r="AP49" s="90">
        <v>2.2999999999999998</v>
      </c>
      <c r="AQ49" s="90">
        <v>3.3</v>
      </c>
      <c r="AR49" s="90">
        <v>5</v>
      </c>
      <c r="AS49" s="90">
        <v>2.2999999999999998</v>
      </c>
      <c r="AT49" s="90">
        <v>2.2999999999999998</v>
      </c>
      <c r="AU49" s="90">
        <v>2.2000000000000002</v>
      </c>
      <c r="AV49" s="90">
        <v>3</v>
      </c>
      <c r="AW49" s="90">
        <v>3</v>
      </c>
      <c r="AX49" s="91">
        <v>3.8</v>
      </c>
      <c r="AY49" s="70"/>
      <c r="AZ49" s="70"/>
    </row>
    <row r="50" spans="1:52" ht="13.9" customHeight="1" x14ac:dyDescent="0.35">
      <c r="A50" s="137"/>
      <c r="B50" s="126"/>
      <c r="C50" s="80" t="s">
        <v>567</v>
      </c>
      <c r="D50" s="80" t="s">
        <v>142</v>
      </c>
      <c r="E50" s="80">
        <v>44</v>
      </c>
      <c r="F50" s="80"/>
      <c r="G50" s="118"/>
      <c r="H50" s="80">
        <v>53</v>
      </c>
      <c r="I50" s="80"/>
      <c r="J50" s="118"/>
      <c r="K50" s="72">
        <v>48</v>
      </c>
      <c r="L50" s="72"/>
      <c r="M50" s="118"/>
      <c r="N50" s="72">
        <v>46</v>
      </c>
      <c r="O50" s="72"/>
      <c r="P50" s="118"/>
      <c r="Q50" s="72">
        <v>56</v>
      </c>
      <c r="R50" s="72"/>
      <c r="S50" s="118"/>
      <c r="T50" s="72">
        <v>42</v>
      </c>
      <c r="U50" s="72"/>
      <c r="V50" s="118"/>
      <c r="W50" s="72">
        <v>41</v>
      </c>
      <c r="X50" s="72"/>
      <c r="Y50" s="118"/>
      <c r="Z50" s="72"/>
      <c r="AA50" s="72"/>
      <c r="AB50" s="121"/>
      <c r="AC50" s="72"/>
      <c r="AD50" s="72"/>
      <c r="AE50" s="121"/>
      <c r="AF50" s="72"/>
      <c r="AG50" s="72"/>
      <c r="AH50" s="121"/>
      <c r="AI50" s="72"/>
      <c r="AJ50" s="72"/>
      <c r="AK50" s="118"/>
      <c r="AL50" s="70"/>
      <c r="AM50" s="89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1"/>
      <c r="AY50" s="70"/>
      <c r="AZ50" s="70"/>
    </row>
    <row r="51" spans="1:52" ht="13.9" customHeight="1" x14ac:dyDescent="0.35">
      <c r="A51" s="137"/>
      <c r="B51" s="126"/>
      <c r="C51" s="80" t="s">
        <v>602</v>
      </c>
      <c r="D51" s="80" t="s">
        <v>0</v>
      </c>
      <c r="E51" s="80">
        <v>1600</v>
      </c>
      <c r="F51" s="80"/>
      <c r="G51" s="118"/>
      <c r="H51" s="80">
        <v>1043</v>
      </c>
      <c r="I51" s="80"/>
      <c r="J51" s="118"/>
      <c r="K51" s="72">
        <v>665</v>
      </c>
      <c r="L51" s="72"/>
      <c r="M51" s="118"/>
      <c r="N51" s="72">
        <v>900</v>
      </c>
      <c r="O51" s="72"/>
      <c r="P51" s="118"/>
      <c r="Q51" s="72">
        <v>700</v>
      </c>
      <c r="R51" s="72"/>
      <c r="S51" s="118"/>
      <c r="T51" s="72">
        <v>1400</v>
      </c>
      <c r="U51" s="72"/>
      <c r="V51" s="118"/>
      <c r="W51" s="72">
        <v>1678</v>
      </c>
      <c r="X51" s="72"/>
      <c r="Y51" s="118"/>
      <c r="Z51" s="72"/>
      <c r="AA51" s="72"/>
      <c r="AB51" s="121"/>
      <c r="AC51" s="72"/>
      <c r="AD51" s="72"/>
      <c r="AE51" s="121"/>
      <c r="AF51" s="72"/>
      <c r="AG51" s="72"/>
      <c r="AH51" s="121"/>
      <c r="AI51" s="72"/>
      <c r="AJ51" s="72"/>
      <c r="AK51" s="118"/>
      <c r="AL51" s="70"/>
      <c r="AM51" s="89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1"/>
      <c r="AY51" s="70"/>
      <c r="AZ51" s="70"/>
    </row>
    <row r="52" spans="1:52" ht="13.9" customHeight="1" x14ac:dyDescent="0.35">
      <c r="A52" s="137"/>
      <c r="B52" s="126"/>
      <c r="C52" s="80" t="s">
        <v>674</v>
      </c>
      <c r="D52" s="80" t="s">
        <v>0</v>
      </c>
      <c r="E52" s="80">
        <v>3600</v>
      </c>
      <c r="F52" s="80"/>
      <c r="G52" s="118"/>
      <c r="H52" s="80">
        <v>5216</v>
      </c>
      <c r="I52" s="80"/>
      <c r="J52" s="118"/>
      <c r="K52" s="72">
        <v>4600</v>
      </c>
      <c r="L52" s="72"/>
      <c r="M52" s="118"/>
      <c r="N52" s="72">
        <v>4500</v>
      </c>
      <c r="O52" s="72"/>
      <c r="P52" s="118"/>
      <c r="Q52" s="72">
        <v>4000</v>
      </c>
      <c r="R52" s="72"/>
      <c r="S52" s="118"/>
      <c r="T52" s="72">
        <v>2600</v>
      </c>
      <c r="U52" s="72"/>
      <c r="V52" s="118"/>
      <c r="W52" s="72">
        <v>4900</v>
      </c>
      <c r="X52" s="72"/>
      <c r="Y52" s="118"/>
      <c r="Z52" s="72"/>
      <c r="AA52" s="72"/>
      <c r="AB52" s="121"/>
      <c r="AC52" s="72"/>
      <c r="AD52" s="72"/>
      <c r="AE52" s="121"/>
      <c r="AF52" s="72"/>
      <c r="AG52" s="72"/>
      <c r="AH52" s="121"/>
      <c r="AI52" s="72"/>
      <c r="AJ52" s="72"/>
      <c r="AK52" s="118"/>
      <c r="AL52" s="70"/>
      <c r="AM52" s="89" t="s">
        <v>330</v>
      </c>
      <c r="AN52" s="90">
        <v>5</v>
      </c>
      <c r="AO52" s="90">
        <v>5</v>
      </c>
      <c r="AP52" s="90">
        <v>5</v>
      </c>
      <c r="AQ52" s="90">
        <v>3</v>
      </c>
      <c r="AR52" s="90">
        <v>1</v>
      </c>
      <c r="AS52" s="90">
        <v>1</v>
      </c>
      <c r="AT52" s="90">
        <v>1</v>
      </c>
      <c r="AU52" s="90">
        <v>1</v>
      </c>
      <c r="AV52" s="90">
        <v>1</v>
      </c>
      <c r="AW52" s="90">
        <v>1</v>
      </c>
      <c r="AX52" s="91">
        <v>3</v>
      </c>
      <c r="AY52" s="70"/>
      <c r="AZ52" s="70"/>
    </row>
    <row r="53" spans="1:52" ht="13.9" customHeight="1" x14ac:dyDescent="0.35">
      <c r="A53" s="137"/>
      <c r="B53" s="126"/>
      <c r="C53" s="80" t="s">
        <v>561</v>
      </c>
      <c r="D53" s="80" t="s">
        <v>0</v>
      </c>
      <c r="E53" s="80">
        <v>1000</v>
      </c>
      <c r="F53" s="80"/>
      <c r="G53" s="118"/>
      <c r="H53" s="80">
        <v>2177</v>
      </c>
      <c r="I53" s="80"/>
      <c r="J53" s="118"/>
      <c r="K53" s="72">
        <v>1040</v>
      </c>
      <c r="L53" s="72"/>
      <c r="M53" s="118"/>
      <c r="N53" s="72">
        <v>1150</v>
      </c>
      <c r="O53" s="72"/>
      <c r="P53" s="118"/>
      <c r="Q53" s="72">
        <v>2100</v>
      </c>
      <c r="R53" s="72"/>
      <c r="S53" s="118"/>
      <c r="T53" s="72"/>
      <c r="U53" s="72"/>
      <c r="V53" s="118"/>
      <c r="W53" s="72"/>
      <c r="X53" s="72"/>
      <c r="Y53" s="118"/>
      <c r="Z53" s="72"/>
      <c r="AA53" s="72"/>
      <c r="AB53" s="121"/>
      <c r="AC53" s="72"/>
      <c r="AD53" s="72"/>
      <c r="AE53" s="121"/>
      <c r="AF53" s="72"/>
      <c r="AG53" s="72"/>
      <c r="AH53" s="121"/>
      <c r="AI53" s="72"/>
      <c r="AJ53" s="72"/>
      <c r="AK53" s="118"/>
      <c r="AL53" s="70"/>
      <c r="AM53" s="89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1"/>
      <c r="AY53" s="70"/>
      <c r="AZ53" s="70"/>
    </row>
    <row r="54" spans="1:52" ht="13.9" customHeight="1" x14ac:dyDescent="0.35">
      <c r="A54" s="137"/>
      <c r="B54" s="126"/>
      <c r="C54" s="80" t="s">
        <v>562</v>
      </c>
      <c r="D54" s="80" t="s">
        <v>142</v>
      </c>
      <c r="E54" s="80">
        <v>56</v>
      </c>
      <c r="F54" s="80"/>
      <c r="G54" s="118"/>
      <c r="H54" s="80">
        <v>61</v>
      </c>
      <c r="I54" s="80"/>
      <c r="J54" s="118"/>
      <c r="K54" s="72">
        <v>54</v>
      </c>
      <c r="L54" s="72"/>
      <c r="M54" s="118"/>
      <c r="N54" s="108">
        <v>56</v>
      </c>
      <c r="O54" s="72"/>
      <c r="P54" s="118"/>
      <c r="Q54" s="116">
        <v>60</v>
      </c>
      <c r="R54" s="72"/>
      <c r="S54" s="118"/>
      <c r="T54" s="72">
        <v>46</v>
      </c>
      <c r="U54" s="72"/>
      <c r="V54" s="118"/>
      <c r="W54" s="72">
        <v>44.5</v>
      </c>
      <c r="X54" s="72"/>
      <c r="Y54" s="118"/>
      <c r="Z54" s="72"/>
      <c r="AA54" s="72"/>
      <c r="AB54" s="121"/>
      <c r="AC54" s="72"/>
      <c r="AD54" s="72"/>
      <c r="AE54" s="121"/>
      <c r="AF54" s="72"/>
      <c r="AG54" s="72"/>
      <c r="AH54" s="121"/>
      <c r="AI54" s="72"/>
      <c r="AJ54" s="72"/>
      <c r="AK54" s="118"/>
      <c r="AL54" s="70"/>
      <c r="AM54" s="89" t="s">
        <v>333</v>
      </c>
      <c r="AN54" s="90">
        <v>3.3</v>
      </c>
      <c r="AO54" s="90">
        <v>3.6</v>
      </c>
      <c r="AP54" s="90">
        <v>3.6</v>
      </c>
      <c r="AQ54" s="90">
        <v>3</v>
      </c>
      <c r="AR54" s="90">
        <v>3</v>
      </c>
      <c r="AS54" s="90">
        <v>2.2999999999999998</v>
      </c>
      <c r="AT54" s="90">
        <v>2.2999999999999998</v>
      </c>
      <c r="AU54" s="90">
        <v>1.7</v>
      </c>
      <c r="AV54" s="90">
        <v>2.7</v>
      </c>
      <c r="AW54" s="90">
        <v>2</v>
      </c>
      <c r="AX54" s="91">
        <v>3.8</v>
      </c>
      <c r="AY54" s="70"/>
      <c r="AZ54" s="70"/>
    </row>
    <row r="55" spans="1:52" ht="13.9" customHeight="1" x14ac:dyDescent="0.35">
      <c r="A55" s="137"/>
      <c r="B55" s="126"/>
      <c r="C55" s="80" t="s">
        <v>675</v>
      </c>
      <c r="D55" s="80" t="s">
        <v>0</v>
      </c>
      <c r="E55" s="80">
        <v>13000</v>
      </c>
      <c r="F55" s="80"/>
      <c r="G55" s="118"/>
      <c r="H55" s="80">
        <v>27760</v>
      </c>
      <c r="I55" s="80"/>
      <c r="J55" s="118"/>
      <c r="K55" s="73">
        <v>14475</v>
      </c>
      <c r="L55" s="73"/>
      <c r="M55" s="118"/>
      <c r="N55" s="109">
        <v>26450</v>
      </c>
      <c r="O55" s="72"/>
      <c r="P55" s="118"/>
      <c r="Q55" s="109">
        <v>18800</v>
      </c>
      <c r="R55" s="72"/>
      <c r="S55" s="118"/>
      <c r="T55" s="72"/>
      <c r="U55" s="72"/>
      <c r="V55" s="118"/>
      <c r="W55" s="72">
        <v>22000</v>
      </c>
      <c r="X55" s="72"/>
      <c r="Y55" s="118"/>
      <c r="Z55" s="72"/>
      <c r="AA55" s="72"/>
      <c r="AB55" s="121"/>
      <c r="AC55" s="72"/>
      <c r="AD55" s="72"/>
      <c r="AE55" s="121"/>
      <c r="AF55" s="72"/>
      <c r="AG55" s="72"/>
      <c r="AH55" s="121"/>
      <c r="AI55" s="72"/>
      <c r="AJ55" s="72"/>
      <c r="AK55" s="118"/>
      <c r="AL55" s="70"/>
      <c r="AM55" s="89" t="s">
        <v>336</v>
      </c>
      <c r="AN55" s="90">
        <v>3</v>
      </c>
      <c r="AO55" s="90">
        <v>3.5</v>
      </c>
      <c r="AP55" s="90">
        <v>3.5</v>
      </c>
      <c r="AQ55" s="90">
        <v>4</v>
      </c>
      <c r="AR55" s="90">
        <v>2</v>
      </c>
      <c r="AS55" s="90">
        <v>3</v>
      </c>
      <c r="AT55" s="90">
        <v>4.3</v>
      </c>
      <c r="AU55" s="90">
        <v>2</v>
      </c>
      <c r="AV55" s="90">
        <v>2.2999999999999998</v>
      </c>
      <c r="AW55" s="90">
        <v>2</v>
      </c>
      <c r="AX55" s="91">
        <v>2</v>
      </c>
      <c r="AY55" s="70"/>
      <c r="AZ55" s="70"/>
    </row>
    <row r="56" spans="1:52" ht="13.9" customHeight="1" x14ac:dyDescent="0.35">
      <c r="A56" s="137"/>
      <c r="B56" s="126"/>
      <c r="C56" s="80" t="s">
        <v>604</v>
      </c>
      <c r="D56" s="80" t="s">
        <v>0</v>
      </c>
      <c r="E56" s="72">
        <v>3300</v>
      </c>
      <c r="F56" s="72"/>
      <c r="G56" s="118"/>
      <c r="H56" s="80">
        <v>12927</v>
      </c>
      <c r="I56" s="80"/>
      <c r="J56" s="118"/>
      <c r="K56" s="72">
        <v>9100</v>
      </c>
      <c r="L56" s="72"/>
      <c r="M56" s="118"/>
      <c r="N56" s="108">
        <v>14150</v>
      </c>
      <c r="O56" s="72"/>
      <c r="P56" s="118"/>
      <c r="Q56" s="116">
        <v>9200</v>
      </c>
      <c r="R56" s="72"/>
      <c r="S56" s="118"/>
      <c r="T56" s="72">
        <v>3800</v>
      </c>
      <c r="U56" s="72"/>
      <c r="V56" s="118"/>
      <c r="W56" s="72">
        <v>9707</v>
      </c>
      <c r="X56" s="72"/>
      <c r="Y56" s="118"/>
      <c r="Z56" s="72"/>
      <c r="AA56" s="72"/>
      <c r="AB56" s="121"/>
      <c r="AC56" s="72"/>
      <c r="AD56" s="72"/>
      <c r="AE56" s="121"/>
      <c r="AF56" s="72"/>
      <c r="AG56" s="72"/>
      <c r="AH56" s="121"/>
      <c r="AI56" s="72"/>
      <c r="AJ56" s="72"/>
      <c r="AK56" s="118"/>
      <c r="AL56" s="70"/>
      <c r="AM56" s="89" t="s">
        <v>339</v>
      </c>
      <c r="AN56" s="90">
        <v>3</v>
      </c>
      <c r="AO56" s="90">
        <v>3</v>
      </c>
      <c r="AP56" s="90">
        <v>3</v>
      </c>
      <c r="AQ56" s="90">
        <v>3</v>
      </c>
      <c r="AR56" s="90">
        <v>3</v>
      </c>
      <c r="AS56" s="90">
        <v>3</v>
      </c>
      <c r="AT56" s="90">
        <v>3</v>
      </c>
      <c r="AU56" s="90">
        <v>3</v>
      </c>
      <c r="AV56" s="90">
        <v>1</v>
      </c>
      <c r="AW56" s="90">
        <v>1</v>
      </c>
      <c r="AX56" s="91">
        <v>5</v>
      </c>
      <c r="AY56" s="70"/>
      <c r="AZ56" s="70"/>
    </row>
    <row r="57" spans="1:52" ht="15" customHeight="1" x14ac:dyDescent="0.35">
      <c r="A57" s="137"/>
      <c r="B57" s="126"/>
      <c r="C57" s="9" t="s">
        <v>551</v>
      </c>
      <c r="D57" s="80" t="s">
        <v>0</v>
      </c>
      <c r="E57" s="72">
        <v>18300</v>
      </c>
      <c r="F57" s="72"/>
      <c r="G57" s="125"/>
      <c r="H57" s="80">
        <v>20865</v>
      </c>
      <c r="I57" s="80"/>
      <c r="J57" s="125"/>
      <c r="K57" s="72">
        <v>17550</v>
      </c>
      <c r="L57" s="72"/>
      <c r="M57" s="125"/>
      <c r="N57" s="109">
        <v>21800</v>
      </c>
      <c r="O57" s="72"/>
      <c r="P57" s="125"/>
      <c r="Q57" s="109"/>
      <c r="R57" s="72"/>
      <c r="S57" s="125"/>
      <c r="T57" s="72">
        <v>10600</v>
      </c>
      <c r="U57" s="72"/>
      <c r="V57" s="125"/>
      <c r="W57" s="72">
        <v>7121</v>
      </c>
      <c r="X57" s="72"/>
      <c r="Y57" s="125"/>
      <c r="Z57" s="72"/>
      <c r="AA57" s="72"/>
      <c r="AB57" s="132"/>
      <c r="AC57" s="72"/>
      <c r="AD57" s="72"/>
      <c r="AE57" s="132"/>
      <c r="AF57" s="72"/>
      <c r="AG57" s="72"/>
      <c r="AH57" s="132"/>
      <c r="AI57" s="72"/>
      <c r="AJ57" s="72"/>
      <c r="AK57" s="125"/>
      <c r="AL57" s="70"/>
      <c r="AM57" s="89" t="s">
        <v>342</v>
      </c>
      <c r="AN57" s="90">
        <v>4</v>
      </c>
      <c r="AO57" s="90">
        <v>4</v>
      </c>
      <c r="AP57" s="90">
        <v>5</v>
      </c>
      <c r="AQ57" s="90">
        <v>4</v>
      </c>
      <c r="AR57" s="90">
        <v>4</v>
      </c>
      <c r="AS57" s="90">
        <v>2</v>
      </c>
      <c r="AT57" s="90">
        <v>2</v>
      </c>
      <c r="AU57" s="90">
        <v>1</v>
      </c>
      <c r="AV57" s="90">
        <v>3</v>
      </c>
      <c r="AW57" s="90">
        <v>3</v>
      </c>
      <c r="AX57" s="91">
        <v>2</v>
      </c>
      <c r="AY57" s="70"/>
      <c r="AZ57" s="70"/>
    </row>
    <row r="58" spans="1:52" ht="13.9" customHeight="1" x14ac:dyDescent="0.35">
      <c r="A58" s="137"/>
      <c r="B58" s="127" t="s">
        <v>568</v>
      </c>
      <c r="C58" s="80" t="s">
        <v>385</v>
      </c>
      <c r="D58" s="80" t="s">
        <v>22</v>
      </c>
      <c r="E58" s="80">
        <v>1.8</v>
      </c>
      <c r="F58" s="80"/>
      <c r="G58" s="130"/>
      <c r="H58" s="80">
        <v>1.3</v>
      </c>
      <c r="I58" s="80"/>
      <c r="J58" s="130"/>
      <c r="K58" s="72">
        <v>2</v>
      </c>
      <c r="L58" s="72"/>
      <c r="M58" s="122"/>
      <c r="N58" s="72">
        <v>1.9</v>
      </c>
      <c r="O58" s="72"/>
      <c r="P58" s="122"/>
      <c r="Q58" s="72"/>
      <c r="R58" s="72"/>
      <c r="S58" s="122"/>
      <c r="T58" s="72">
        <v>1.6</v>
      </c>
      <c r="U58" s="72"/>
      <c r="V58" s="120"/>
      <c r="W58" s="72">
        <v>1.8</v>
      </c>
      <c r="X58" s="72"/>
      <c r="Y58" s="122"/>
      <c r="Z58" s="72"/>
      <c r="AA58" s="72"/>
      <c r="AB58" s="122"/>
      <c r="AC58" s="72"/>
      <c r="AD58" s="72"/>
      <c r="AE58" s="122"/>
      <c r="AF58" s="72"/>
      <c r="AG58" s="72"/>
      <c r="AH58" s="122"/>
      <c r="AI58" s="72"/>
      <c r="AJ58" s="72"/>
      <c r="AK58" s="122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</row>
    <row r="59" spans="1:52" ht="13.9" customHeight="1" x14ac:dyDescent="0.35">
      <c r="A59" s="137"/>
      <c r="B59" s="128"/>
      <c r="C59" s="80" t="s">
        <v>565</v>
      </c>
      <c r="D59" s="80" t="s">
        <v>564</v>
      </c>
      <c r="E59" s="80">
        <v>55</v>
      </c>
      <c r="F59" s="80"/>
      <c r="G59" s="133"/>
      <c r="H59" s="80">
        <v>56</v>
      </c>
      <c r="I59" s="80"/>
      <c r="J59" s="133"/>
      <c r="K59" s="72">
        <v>60</v>
      </c>
      <c r="L59" s="72"/>
      <c r="M59" s="118"/>
      <c r="N59" s="72"/>
      <c r="O59" s="72"/>
      <c r="P59" s="118"/>
      <c r="Q59" s="72">
        <v>50</v>
      </c>
      <c r="R59" s="72"/>
      <c r="S59" s="118"/>
      <c r="T59" s="72">
        <v>70</v>
      </c>
      <c r="U59" s="72"/>
      <c r="V59" s="120"/>
      <c r="W59" s="72">
        <v>70</v>
      </c>
      <c r="X59" s="72"/>
      <c r="Y59" s="118"/>
      <c r="Z59" s="72"/>
      <c r="AA59" s="72"/>
      <c r="AB59" s="118"/>
      <c r="AC59" s="72"/>
      <c r="AD59" s="72"/>
      <c r="AE59" s="118"/>
      <c r="AF59" s="72"/>
      <c r="AG59" s="72"/>
      <c r="AH59" s="118"/>
      <c r="AI59" s="72"/>
      <c r="AJ59" s="72"/>
      <c r="AK59" s="118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</row>
    <row r="60" spans="1:52" ht="13.9" customHeight="1" x14ac:dyDescent="0.35">
      <c r="A60" s="137"/>
      <c r="B60" s="128"/>
      <c r="C60" s="80" t="s">
        <v>566</v>
      </c>
      <c r="D60" s="80" t="s">
        <v>564</v>
      </c>
      <c r="E60" s="80">
        <v>125</v>
      </c>
      <c r="F60" s="80"/>
      <c r="G60" s="133"/>
      <c r="H60" s="80">
        <v>410</v>
      </c>
      <c r="I60" s="80"/>
      <c r="J60" s="133"/>
      <c r="K60" s="72">
        <v>360</v>
      </c>
      <c r="L60" s="72"/>
      <c r="M60" s="118"/>
      <c r="N60" s="72"/>
      <c r="O60" s="72"/>
      <c r="P60" s="118"/>
      <c r="Q60" s="72">
        <v>400</v>
      </c>
      <c r="R60" s="72"/>
      <c r="S60" s="118"/>
      <c r="T60" s="72">
        <v>150</v>
      </c>
      <c r="U60" s="72"/>
      <c r="V60" s="120"/>
      <c r="W60" s="72">
        <v>340</v>
      </c>
      <c r="X60" s="72"/>
      <c r="Y60" s="118"/>
      <c r="Z60" s="72"/>
      <c r="AA60" s="72"/>
      <c r="AB60" s="118"/>
      <c r="AC60" s="72"/>
      <c r="AD60" s="72"/>
      <c r="AE60" s="118"/>
      <c r="AF60" s="72"/>
      <c r="AG60" s="72"/>
      <c r="AH60" s="118"/>
      <c r="AI60" s="72"/>
      <c r="AJ60" s="72"/>
      <c r="AK60" s="118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</row>
    <row r="61" spans="1:52" ht="13.9" customHeight="1" x14ac:dyDescent="0.35">
      <c r="A61" s="137"/>
      <c r="B61" s="128"/>
      <c r="C61" s="80"/>
      <c r="D61" s="80"/>
      <c r="E61" s="80"/>
      <c r="F61" s="80"/>
      <c r="G61" s="133"/>
      <c r="H61" s="80"/>
      <c r="I61" s="80"/>
      <c r="J61" s="133"/>
      <c r="K61" s="72"/>
      <c r="L61" s="72"/>
      <c r="M61" s="118"/>
      <c r="N61" s="72"/>
      <c r="O61" s="72"/>
      <c r="P61" s="118"/>
      <c r="Q61" s="72"/>
      <c r="R61" s="72"/>
      <c r="S61" s="118"/>
      <c r="T61" s="72"/>
      <c r="U61" s="72"/>
      <c r="V61" s="120"/>
      <c r="W61" s="72"/>
      <c r="X61" s="72"/>
      <c r="Y61" s="118"/>
      <c r="Z61" s="72"/>
      <c r="AA61" s="72"/>
      <c r="AB61" s="118"/>
      <c r="AC61" s="72"/>
      <c r="AD61" s="72"/>
      <c r="AE61" s="118"/>
      <c r="AF61" s="72"/>
      <c r="AG61" s="72"/>
      <c r="AH61" s="118"/>
      <c r="AI61" s="72"/>
      <c r="AJ61" s="72"/>
      <c r="AK61" s="118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</row>
    <row r="62" spans="1:52" ht="13.9" customHeight="1" x14ac:dyDescent="0.35">
      <c r="A62" s="137"/>
      <c r="B62" s="128"/>
      <c r="C62" s="80"/>
      <c r="D62" s="80"/>
      <c r="E62" s="80"/>
      <c r="F62" s="80"/>
      <c r="G62" s="133"/>
      <c r="H62" s="80"/>
      <c r="I62" s="80"/>
      <c r="J62" s="133"/>
      <c r="K62" s="72"/>
      <c r="L62" s="72"/>
      <c r="M62" s="118"/>
      <c r="N62" s="72"/>
      <c r="O62" s="72"/>
      <c r="P62" s="118"/>
      <c r="Q62" s="72"/>
      <c r="R62" s="72"/>
      <c r="S62" s="118"/>
      <c r="T62" s="72"/>
      <c r="U62" s="72"/>
      <c r="V62" s="120"/>
      <c r="W62" s="72"/>
      <c r="X62" s="72"/>
      <c r="Y62" s="118"/>
      <c r="Z62" s="72"/>
      <c r="AA62" s="72"/>
      <c r="AB62" s="118"/>
      <c r="AC62" s="72"/>
      <c r="AD62" s="72"/>
      <c r="AE62" s="118"/>
      <c r="AF62" s="72"/>
      <c r="AG62" s="72"/>
      <c r="AH62" s="118"/>
      <c r="AI62" s="72"/>
      <c r="AJ62" s="72"/>
      <c r="AK62" s="118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</row>
    <row r="63" spans="1:52" ht="13.9" customHeight="1" x14ac:dyDescent="0.35">
      <c r="A63" s="137"/>
      <c r="B63" s="129"/>
      <c r="C63" s="80"/>
      <c r="D63" s="80"/>
      <c r="E63" s="80"/>
      <c r="F63" s="80"/>
      <c r="G63" s="131"/>
      <c r="H63" s="80"/>
      <c r="I63" s="80"/>
      <c r="J63" s="131"/>
      <c r="K63" s="72"/>
      <c r="L63" s="72"/>
      <c r="M63" s="125"/>
      <c r="N63" s="73"/>
      <c r="O63" s="73"/>
      <c r="P63" s="125"/>
      <c r="Q63" s="73"/>
      <c r="R63" s="73"/>
      <c r="S63" s="125"/>
      <c r="T63" s="72"/>
      <c r="U63" s="72"/>
      <c r="V63" s="120"/>
      <c r="W63" s="72"/>
      <c r="X63" s="72"/>
      <c r="Y63" s="125"/>
      <c r="Z63" s="72"/>
      <c r="AA63" s="72"/>
      <c r="AB63" s="125"/>
      <c r="AC63" s="72"/>
      <c r="AD63" s="72"/>
      <c r="AE63" s="125"/>
      <c r="AF63" s="72"/>
      <c r="AG63" s="72"/>
      <c r="AH63" s="125"/>
      <c r="AI63" s="72"/>
      <c r="AJ63" s="72"/>
      <c r="AK63" s="125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</row>
    <row r="64" spans="1:52" ht="13.9" customHeight="1" x14ac:dyDescent="0.35">
      <c r="A64" s="137"/>
      <c r="B64" s="127"/>
      <c r="C64" s="80"/>
      <c r="D64" s="80"/>
      <c r="E64" s="80"/>
      <c r="F64" s="80"/>
      <c r="G64" s="130"/>
      <c r="H64" s="80"/>
      <c r="I64" s="80"/>
      <c r="J64" s="130"/>
      <c r="K64" s="72"/>
      <c r="L64" s="72"/>
      <c r="M64" s="122"/>
      <c r="N64" s="102"/>
      <c r="O64" s="72"/>
      <c r="P64" s="122"/>
      <c r="Q64" s="103"/>
      <c r="R64" s="72"/>
      <c r="S64" s="122"/>
      <c r="T64" s="72"/>
      <c r="U64" s="72"/>
      <c r="V64" s="120"/>
      <c r="W64" s="72"/>
      <c r="X64" s="72"/>
      <c r="Y64" s="122"/>
      <c r="Z64" s="72"/>
      <c r="AA64" s="72"/>
      <c r="AB64" s="122"/>
      <c r="AC64" s="72"/>
      <c r="AD64" s="72"/>
      <c r="AE64" s="122"/>
      <c r="AF64" s="72"/>
      <c r="AG64" s="72"/>
      <c r="AH64" s="122"/>
      <c r="AI64" s="72"/>
      <c r="AJ64" s="72"/>
      <c r="AK64" s="122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</row>
    <row r="65" spans="1:52" ht="13.9" customHeight="1" x14ac:dyDescent="0.35">
      <c r="A65" s="137"/>
      <c r="B65" s="129"/>
      <c r="C65" s="80"/>
      <c r="D65" s="80"/>
      <c r="E65" s="80"/>
      <c r="F65" s="80"/>
      <c r="G65" s="131"/>
      <c r="H65" s="80"/>
      <c r="I65" s="80"/>
      <c r="J65" s="131"/>
      <c r="K65" s="72"/>
      <c r="L65" s="72"/>
      <c r="M65" s="125"/>
      <c r="N65" s="102"/>
      <c r="O65" s="72"/>
      <c r="P65" s="125"/>
      <c r="Q65" s="103"/>
      <c r="R65" s="72"/>
      <c r="S65" s="125"/>
      <c r="T65" s="72"/>
      <c r="U65" s="72"/>
      <c r="V65" s="120"/>
      <c r="W65" s="72"/>
      <c r="X65" s="72"/>
      <c r="Y65" s="125"/>
      <c r="Z65" s="72"/>
      <c r="AA65" s="72"/>
      <c r="AB65" s="125"/>
      <c r="AC65" s="72"/>
      <c r="AD65" s="72"/>
      <c r="AE65" s="125"/>
      <c r="AF65" s="72"/>
      <c r="AG65" s="72"/>
      <c r="AH65" s="125"/>
      <c r="AI65" s="72"/>
      <c r="AJ65" s="72"/>
      <c r="AK65" s="125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</row>
    <row r="66" spans="1:52" x14ac:dyDescent="0.35">
      <c r="A66" s="137"/>
      <c r="B66" s="127"/>
      <c r="C66" s="80"/>
      <c r="D66" s="80"/>
      <c r="E66" s="72"/>
      <c r="F66" s="72"/>
      <c r="G66" s="122"/>
      <c r="H66" s="72"/>
      <c r="I66" s="72"/>
      <c r="J66" s="122"/>
      <c r="K66" s="72"/>
      <c r="L66" s="72"/>
      <c r="M66" s="122"/>
      <c r="N66" s="72"/>
      <c r="O66" s="72"/>
      <c r="P66" s="122"/>
      <c r="Q66" s="72"/>
      <c r="R66" s="72"/>
      <c r="S66" s="122"/>
      <c r="T66" s="72"/>
      <c r="U66" s="72"/>
      <c r="V66" s="118"/>
      <c r="W66" s="72"/>
      <c r="X66" s="72"/>
      <c r="Y66" s="122"/>
      <c r="Z66" s="72"/>
      <c r="AA66" s="72"/>
      <c r="AB66" s="122"/>
      <c r="AC66" s="72"/>
      <c r="AD66" s="72"/>
      <c r="AE66" s="122"/>
      <c r="AF66" s="72"/>
      <c r="AG66" s="72"/>
      <c r="AH66" s="122"/>
      <c r="AI66" s="72"/>
      <c r="AJ66" s="72"/>
      <c r="AK66" s="122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</row>
    <row r="67" spans="1:52" x14ac:dyDescent="0.35">
      <c r="A67" s="137"/>
      <c r="B67" s="128"/>
      <c r="C67" s="80"/>
      <c r="D67" s="80"/>
      <c r="E67" s="80"/>
      <c r="F67" s="80"/>
      <c r="G67" s="118"/>
      <c r="H67" s="80"/>
      <c r="I67" s="80"/>
      <c r="J67" s="118"/>
      <c r="K67" s="73"/>
      <c r="L67" s="73"/>
      <c r="M67" s="118"/>
      <c r="N67" s="72"/>
      <c r="O67" s="72"/>
      <c r="P67" s="118"/>
      <c r="Q67" s="72"/>
      <c r="R67" s="72"/>
      <c r="S67" s="118"/>
      <c r="T67" s="72"/>
      <c r="U67" s="72"/>
      <c r="V67" s="118"/>
      <c r="W67" s="72"/>
      <c r="X67" s="72"/>
      <c r="Y67" s="118"/>
      <c r="Z67" s="72"/>
      <c r="AA67" s="72"/>
      <c r="AB67" s="118"/>
      <c r="AC67" s="72"/>
      <c r="AD67" s="72"/>
      <c r="AE67" s="118"/>
      <c r="AF67" s="72"/>
      <c r="AG67" s="72"/>
      <c r="AH67" s="118"/>
      <c r="AI67" s="72"/>
      <c r="AJ67" s="72"/>
      <c r="AK67" s="118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</row>
    <row r="68" spans="1:52" ht="13.9" customHeight="1" x14ac:dyDescent="0.35">
      <c r="A68" s="138"/>
      <c r="B68" s="129"/>
      <c r="C68" s="80"/>
      <c r="D68" s="80"/>
      <c r="E68" s="80"/>
      <c r="F68" s="80"/>
      <c r="G68" s="125"/>
      <c r="H68" s="80"/>
      <c r="I68" s="80"/>
      <c r="J68" s="125"/>
      <c r="K68" s="73"/>
      <c r="L68" s="73"/>
      <c r="M68" s="125"/>
      <c r="N68" s="72"/>
      <c r="O68" s="72"/>
      <c r="P68" s="125"/>
      <c r="Q68" s="72"/>
      <c r="R68" s="72"/>
      <c r="S68" s="125"/>
      <c r="T68" s="72"/>
      <c r="U68" s="72"/>
      <c r="V68" s="125"/>
      <c r="W68" s="72"/>
      <c r="X68" s="72"/>
      <c r="Y68" s="125"/>
      <c r="Z68" s="72"/>
      <c r="AA68" s="72"/>
      <c r="AB68" s="125"/>
      <c r="AC68" s="73"/>
      <c r="AD68" s="73"/>
      <c r="AE68" s="125"/>
      <c r="AF68" s="73"/>
      <c r="AG68" s="73"/>
      <c r="AH68" s="125"/>
      <c r="AI68" s="73"/>
      <c r="AJ68" s="73"/>
      <c r="AK68" s="125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</row>
    <row r="69" spans="1:52" x14ac:dyDescent="0.35">
      <c r="A69" s="119" t="s">
        <v>388</v>
      </c>
      <c r="B69" s="126"/>
      <c r="C69" s="80"/>
      <c r="D69" s="72"/>
      <c r="E69" s="72"/>
      <c r="F69" s="72"/>
      <c r="G69" s="122"/>
      <c r="H69" s="72"/>
      <c r="I69" s="72"/>
      <c r="J69" s="122"/>
      <c r="K69" s="72"/>
      <c r="L69" s="72"/>
      <c r="M69" s="122"/>
      <c r="N69" s="72"/>
      <c r="O69" s="72"/>
      <c r="P69" s="122"/>
      <c r="Q69" s="72"/>
      <c r="R69" s="72"/>
      <c r="S69" s="122"/>
      <c r="T69" s="72"/>
      <c r="U69" s="72"/>
      <c r="V69" s="122"/>
      <c r="W69" s="72"/>
      <c r="X69" s="72"/>
      <c r="Y69" s="122"/>
      <c r="Z69" s="72"/>
      <c r="AA69" s="72"/>
      <c r="AB69" s="122"/>
      <c r="AC69" s="72"/>
      <c r="AD69" s="72"/>
      <c r="AE69" s="122"/>
      <c r="AF69" s="72"/>
      <c r="AG69" s="72"/>
      <c r="AH69" s="122"/>
      <c r="AI69" s="72"/>
      <c r="AJ69" s="72"/>
      <c r="AK69" s="122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</row>
    <row r="70" spans="1:52" x14ac:dyDescent="0.35">
      <c r="A70" s="119"/>
      <c r="B70" s="126"/>
      <c r="C70" s="80" t="s">
        <v>571</v>
      </c>
      <c r="D70" s="72"/>
      <c r="E70" s="72"/>
      <c r="F70" s="72"/>
      <c r="G70" s="118"/>
      <c r="H70" s="72"/>
      <c r="I70" s="72"/>
      <c r="J70" s="118"/>
      <c r="K70" s="72"/>
      <c r="L70" s="72"/>
      <c r="M70" s="118"/>
      <c r="N70" s="72"/>
      <c r="O70" s="72"/>
      <c r="P70" s="118"/>
      <c r="Q70" s="72"/>
      <c r="R70" s="72"/>
      <c r="S70" s="118"/>
      <c r="T70" s="72"/>
      <c r="U70" s="72"/>
      <c r="V70" s="118"/>
      <c r="W70" s="72"/>
      <c r="X70" s="72"/>
      <c r="Y70" s="118"/>
      <c r="Z70" s="72"/>
      <c r="AA70" s="72"/>
      <c r="AB70" s="118"/>
      <c r="AC70" s="72"/>
      <c r="AD70" s="72"/>
      <c r="AE70" s="118"/>
      <c r="AF70" s="72"/>
      <c r="AG70" s="72"/>
      <c r="AH70" s="118"/>
      <c r="AI70" s="72"/>
      <c r="AJ70" s="72"/>
      <c r="AK70" s="118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</row>
    <row r="71" spans="1:52" x14ac:dyDescent="0.35">
      <c r="A71" s="119"/>
      <c r="B71" s="126"/>
      <c r="C71" s="80" t="s">
        <v>572</v>
      </c>
      <c r="D71" s="72"/>
      <c r="E71" s="72"/>
      <c r="F71" s="72"/>
      <c r="G71" s="122"/>
      <c r="H71" s="93"/>
      <c r="I71" s="72"/>
      <c r="J71" s="122"/>
      <c r="K71" s="93"/>
      <c r="L71" s="93"/>
      <c r="M71" s="122"/>
      <c r="N71" s="72"/>
      <c r="O71" s="72"/>
      <c r="P71" s="122"/>
      <c r="Q71" s="72"/>
      <c r="R71" s="72"/>
      <c r="S71" s="122"/>
      <c r="T71" s="72"/>
      <c r="U71" s="72"/>
      <c r="V71" s="122"/>
      <c r="W71" s="72"/>
      <c r="X71" s="72"/>
      <c r="Y71" s="122"/>
      <c r="Z71" s="72"/>
      <c r="AA71" s="72"/>
      <c r="AB71" s="122"/>
      <c r="AC71" s="72"/>
      <c r="AD71" s="72"/>
      <c r="AE71" s="122"/>
      <c r="AF71" s="72"/>
      <c r="AG71" s="72"/>
      <c r="AH71" s="122"/>
      <c r="AI71" s="72"/>
      <c r="AJ71" s="72"/>
      <c r="AK71" s="122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</row>
    <row r="72" spans="1:52" x14ac:dyDescent="0.35">
      <c r="A72" s="119"/>
      <c r="B72" s="126"/>
      <c r="C72" s="80" t="s">
        <v>574</v>
      </c>
      <c r="D72" s="72"/>
      <c r="E72" s="72"/>
      <c r="F72" s="72"/>
      <c r="G72" s="118"/>
      <c r="H72" s="72"/>
      <c r="I72" s="72"/>
      <c r="J72" s="118"/>
      <c r="K72" s="72"/>
      <c r="L72" s="72"/>
      <c r="M72" s="118"/>
      <c r="N72" s="72"/>
      <c r="O72" s="72"/>
      <c r="P72" s="118"/>
      <c r="Q72" s="72"/>
      <c r="R72" s="72"/>
      <c r="S72" s="118"/>
      <c r="T72" s="72"/>
      <c r="U72" s="72"/>
      <c r="V72" s="118"/>
      <c r="W72" s="72"/>
      <c r="X72" s="72"/>
      <c r="Y72" s="118"/>
      <c r="Z72" s="72"/>
      <c r="AA72" s="72"/>
      <c r="AB72" s="118"/>
      <c r="AC72" s="72"/>
      <c r="AD72" s="72"/>
      <c r="AE72" s="118"/>
      <c r="AF72" s="72"/>
      <c r="AG72" s="72"/>
      <c r="AH72" s="118"/>
      <c r="AI72" s="72"/>
      <c r="AJ72" s="72"/>
      <c r="AK72" s="118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</row>
    <row r="73" spans="1:52" x14ac:dyDescent="0.35">
      <c r="A73" s="119"/>
      <c r="B73" s="126"/>
      <c r="C73" s="80" t="s">
        <v>586</v>
      </c>
      <c r="D73" s="72"/>
      <c r="E73" s="72"/>
      <c r="F73" s="72"/>
      <c r="G73" s="118"/>
      <c r="H73" s="72"/>
      <c r="I73" s="72"/>
      <c r="J73" s="118"/>
      <c r="K73" s="72"/>
      <c r="L73" s="72"/>
      <c r="M73" s="118"/>
      <c r="N73" s="72"/>
      <c r="O73" s="72"/>
      <c r="P73" s="118"/>
      <c r="Q73" s="72"/>
      <c r="R73" s="72"/>
      <c r="S73" s="118"/>
      <c r="T73" s="72"/>
      <c r="U73" s="72"/>
      <c r="V73" s="118"/>
      <c r="W73" s="72"/>
      <c r="X73" s="72"/>
      <c r="Y73" s="118"/>
      <c r="Z73" s="72"/>
      <c r="AA73" s="72"/>
      <c r="AB73" s="118"/>
      <c r="AC73" s="72"/>
      <c r="AD73" s="72"/>
      <c r="AE73" s="118"/>
      <c r="AF73" s="72"/>
      <c r="AG73" s="72"/>
      <c r="AH73" s="118"/>
      <c r="AI73" s="72"/>
      <c r="AJ73" s="72"/>
      <c r="AK73" s="118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</row>
    <row r="74" spans="1:52" x14ac:dyDescent="0.35">
      <c r="A74" s="119"/>
      <c r="B74" s="126"/>
      <c r="C74" s="80" t="s">
        <v>600</v>
      </c>
      <c r="D74" s="72"/>
      <c r="E74" s="72"/>
      <c r="F74" s="72"/>
      <c r="G74" s="118"/>
      <c r="H74" s="72"/>
      <c r="I74" s="72"/>
      <c r="J74" s="118"/>
      <c r="K74" s="72"/>
      <c r="L74" s="72"/>
      <c r="M74" s="118"/>
      <c r="N74" s="72"/>
      <c r="O74" s="72"/>
      <c r="P74" s="118"/>
      <c r="Q74" s="72"/>
      <c r="R74" s="72"/>
      <c r="S74" s="118"/>
      <c r="T74" s="72"/>
      <c r="U74" s="72"/>
      <c r="V74" s="118"/>
      <c r="W74" s="72"/>
      <c r="X74" s="72"/>
      <c r="Y74" s="118"/>
      <c r="Z74" s="72"/>
      <c r="AA74" s="72"/>
      <c r="AB74" s="118"/>
      <c r="AC74" s="72"/>
      <c r="AD74" s="72"/>
      <c r="AE74" s="118"/>
      <c r="AF74" s="72"/>
      <c r="AG74" s="72"/>
      <c r="AH74" s="118"/>
      <c r="AI74" s="72"/>
      <c r="AJ74" s="72"/>
      <c r="AK74" s="118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</row>
    <row r="75" spans="1:52" x14ac:dyDescent="0.35">
      <c r="A75" s="119"/>
      <c r="B75" s="126"/>
      <c r="C75" s="80" t="s">
        <v>616</v>
      </c>
      <c r="D75" s="72"/>
      <c r="E75" s="72"/>
      <c r="F75" s="72"/>
      <c r="G75" s="118"/>
      <c r="H75" s="72"/>
      <c r="I75" s="72"/>
      <c r="J75" s="118"/>
      <c r="K75" s="72"/>
      <c r="L75" s="72"/>
      <c r="M75" s="118"/>
      <c r="N75" s="102"/>
      <c r="O75" s="72"/>
      <c r="P75" s="118"/>
      <c r="Q75" s="103"/>
      <c r="R75" s="72"/>
      <c r="S75" s="118"/>
      <c r="T75" s="72"/>
      <c r="U75" s="72"/>
      <c r="V75" s="118"/>
      <c r="W75" s="72"/>
      <c r="X75" s="72"/>
      <c r="Y75" s="118"/>
      <c r="Z75" s="72"/>
      <c r="AA75" s="72"/>
      <c r="AB75" s="118"/>
      <c r="AC75" s="72"/>
      <c r="AD75" s="72"/>
      <c r="AE75" s="118"/>
      <c r="AF75" s="72"/>
      <c r="AG75" s="72"/>
      <c r="AH75" s="118"/>
      <c r="AI75" s="72"/>
      <c r="AJ75" s="72"/>
      <c r="AK75" s="118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</row>
    <row r="76" spans="1:52" x14ac:dyDescent="0.35">
      <c r="A76" s="119"/>
      <c r="B76" s="126"/>
      <c r="C76" s="80" t="s">
        <v>618</v>
      </c>
      <c r="D76" s="72"/>
      <c r="E76" s="72"/>
      <c r="F76" s="72"/>
      <c r="G76" s="118"/>
      <c r="H76" s="72"/>
      <c r="I76" s="72"/>
      <c r="J76" s="118"/>
      <c r="K76" s="72"/>
      <c r="L76" s="72"/>
      <c r="M76" s="118"/>
      <c r="N76" s="72" t="s">
        <v>669</v>
      </c>
      <c r="O76" s="72"/>
      <c r="P76" s="118"/>
      <c r="Q76" s="72"/>
      <c r="R76" s="72"/>
      <c r="S76" s="118"/>
      <c r="T76" s="72"/>
      <c r="U76" s="72"/>
      <c r="V76" s="118"/>
      <c r="W76" s="72"/>
      <c r="X76" s="72"/>
      <c r="Y76" s="118"/>
      <c r="Z76" s="72"/>
      <c r="AA76" s="107"/>
      <c r="AB76" s="118"/>
      <c r="AC76" s="72"/>
      <c r="AD76" s="72"/>
      <c r="AE76" s="118"/>
      <c r="AF76" s="72"/>
      <c r="AG76" s="72"/>
      <c r="AH76" s="118"/>
      <c r="AI76" s="72"/>
      <c r="AJ76" s="72"/>
      <c r="AK76" s="118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</row>
    <row r="77" spans="1:52" x14ac:dyDescent="0.35">
      <c r="A77" s="119"/>
      <c r="B77" s="126"/>
      <c r="C77" s="80" t="s">
        <v>625</v>
      </c>
      <c r="D77" s="72"/>
      <c r="E77" s="72" t="s">
        <v>669</v>
      </c>
      <c r="F77" s="72"/>
      <c r="G77" s="125"/>
      <c r="H77" s="72" t="s">
        <v>669</v>
      </c>
      <c r="I77" s="72"/>
      <c r="J77" s="125"/>
      <c r="K77" s="72"/>
      <c r="L77" s="72"/>
      <c r="M77" s="125"/>
      <c r="N77" s="72" t="s">
        <v>626</v>
      </c>
      <c r="O77" s="72"/>
      <c r="P77" s="125"/>
      <c r="Q77" s="72"/>
      <c r="R77" s="72"/>
      <c r="S77" s="125"/>
      <c r="T77" s="73"/>
      <c r="U77" s="72"/>
      <c r="V77" s="125"/>
      <c r="W77" s="73"/>
      <c r="X77" s="72"/>
      <c r="Y77" s="125"/>
      <c r="Z77" s="72"/>
      <c r="AA77" s="72"/>
      <c r="AB77" s="125"/>
      <c r="AC77" s="72"/>
      <c r="AD77" s="72"/>
      <c r="AE77" s="125"/>
      <c r="AF77" s="72"/>
      <c r="AG77" s="72"/>
      <c r="AH77" s="125"/>
      <c r="AI77" s="72"/>
      <c r="AJ77" s="72"/>
      <c r="AK77" s="125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</row>
    <row r="78" spans="1:52" x14ac:dyDescent="0.35">
      <c r="A78" s="119"/>
      <c r="B78" s="126"/>
      <c r="C78" s="80" t="s">
        <v>657</v>
      </c>
      <c r="D78" s="72"/>
      <c r="E78" s="72"/>
      <c r="F78" s="72"/>
      <c r="G78" s="122"/>
      <c r="H78" s="72"/>
      <c r="I78" s="72"/>
      <c r="J78" s="122"/>
      <c r="K78" s="72" t="s">
        <v>669</v>
      </c>
      <c r="L78" s="72"/>
      <c r="M78" s="122"/>
      <c r="N78" s="72"/>
      <c r="O78" s="72"/>
      <c r="P78" s="122"/>
      <c r="Q78" s="72" t="s">
        <v>619</v>
      </c>
      <c r="R78" s="72"/>
      <c r="S78" s="122"/>
      <c r="T78" s="72"/>
      <c r="U78" s="72"/>
      <c r="V78" s="122"/>
      <c r="W78" s="72"/>
      <c r="X78" s="72"/>
      <c r="Y78" s="122"/>
      <c r="Z78" s="73"/>
      <c r="AA78" s="73"/>
      <c r="AB78" s="123"/>
      <c r="AC78" s="72"/>
      <c r="AD78" s="72"/>
      <c r="AE78" s="122"/>
      <c r="AF78" s="72"/>
      <c r="AG78" s="72"/>
      <c r="AH78" s="122"/>
      <c r="AI78" s="72"/>
      <c r="AJ78" s="72"/>
      <c r="AK78" s="122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</row>
    <row r="79" spans="1:52" x14ac:dyDescent="0.35">
      <c r="A79" s="119"/>
      <c r="B79" s="126"/>
      <c r="C79" s="80" t="s">
        <v>668</v>
      </c>
      <c r="D79" s="72"/>
      <c r="E79" s="72" t="s">
        <v>669</v>
      </c>
      <c r="F79" s="72"/>
      <c r="G79" s="118"/>
      <c r="H79" s="72"/>
      <c r="I79" s="72"/>
      <c r="J79" s="118"/>
      <c r="K79" s="93"/>
      <c r="L79" s="93"/>
      <c r="M79" s="118"/>
      <c r="N79" s="72"/>
      <c r="O79" s="72"/>
      <c r="P79" s="118"/>
      <c r="Q79" s="72"/>
      <c r="R79" s="72"/>
      <c r="S79" s="118"/>
      <c r="T79" s="72"/>
      <c r="U79" s="72"/>
      <c r="V79" s="118"/>
      <c r="W79" s="72"/>
      <c r="X79" s="72"/>
      <c r="Y79" s="118"/>
      <c r="Z79" s="72"/>
      <c r="AA79" s="73"/>
      <c r="AB79" s="121"/>
      <c r="AC79" s="72"/>
      <c r="AD79" s="72"/>
      <c r="AE79" s="118"/>
      <c r="AF79" s="72"/>
      <c r="AG79" s="72"/>
      <c r="AH79" s="118"/>
      <c r="AI79" s="72"/>
      <c r="AJ79" s="72"/>
      <c r="AK79" s="118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</row>
    <row r="80" spans="1:52" x14ac:dyDescent="0.35">
      <c r="A80" s="119"/>
      <c r="B80" s="126"/>
      <c r="C80" s="80"/>
      <c r="D80" s="72"/>
      <c r="E80" s="72"/>
      <c r="F80" s="72"/>
      <c r="G80" s="118"/>
      <c r="H80" s="72"/>
      <c r="I80" s="72"/>
      <c r="J80" s="118"/>
      <c r="K80" s="72"/>
      <c r="L80" s="72"/>
      <c r="M80" s="118"/>
      <c r="N80" s="72"/>
      <c r="O80" s="72"/>
      <c r="P80" s="118"/>
      <c r="Q80" s="72"/>
      <c r="R80" s="72"/>
      <c r="S80" s="118"/>
      <c r="T80" s="72"/>
      <c r="U80" s="72"/>
      <c r="V80" s="118"/>
      <c r="W80" s="72"/>
      <c r="X80" s="72"/>
      <c r="Y80" s="118"/>
      <c r="Z80" s="72"/>
      <c r="AA80" s="72"/>
      <c r="AB80" s="121"/>
      <c r="AC80" s="72"/>
      <c r="AD80" s="72"/>
      <c r="AE80" s="118"/>
      <c r="AF80" s="72"/>
      <c r="AG80" s="72"/>
      <c r="AH80" s="118"/>
      <c r="AI80" s="72"/>
      <c r="AJ80" s="72"/>
      <c r="AK80" s="118"/>
      <c r="AL80" s="70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70"/>
      <c r="AZ80" s="70"/>
    </row>
    <row r="81" spans="1:52" x14ac:dyDescent="0.35">
      <c r="A81" s="119"/>
      <c r="B81" s="126"/>
      <c r="C81" s="80"/>
      <c r="D81" s="72"/>
      <c r="E81" s="72"/>
      <c r="F81" s="72"/>
      <c r="G81" s="118"/>
      <c r="H81" s="72"/>
      <c r="I81" s="72"/>
      <c r="J81" s="118"/>
      <c r="K81" s="72"/>
      <c r="L81" s="72"/>
      <c r="M81" s="118"/>
      <c r="N81" s="72"/>
      <c r="O81" s="72"/>
      <c r="P81" s="118"/>
      <c r="Q81" s="72"/>
      <c r="R81" s="72"/>
      <c r="S81" s="118"/>
      <c r="T81" s="72"/>
      <c r="U81" s="72"/>
      <c r="V81" s="118"/>
      <c r="W81" s="72"/>
      <c r="X81" s="72"/>
      <c r="Y81" s="118"/>
      <c r="Z81" s="72"/>
      <c r="AA81" s="72"/>
      <c r="AB81" s="121"/>
      <c r="AC81" s="72"/>
      <c r="AD81" s="72"/>
      <c r="AE81" s="118"/>
      <c r="AF81" s="72"/>
      <c r="AG81" s="72"/>
      <c r="AH81" s="118"/>
      <c r="AI81" s="72"/>
      <c r="AJ81" s="72"/>
      <c r="AK81" s="118"/>
      <c r="AL81" s="70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70"/>
      <c r="AZ81" s="70"/>
    </row>
    <row r="82" spans="1:52" x14ac:dyDescent="0.35">
      <c r="A82" s="119"/>
      <c r="B82" s="126"/>
      <c r="C82" s="80"/>
      <c r="D82" s="72"/>
      <c r="E82" s="72"/>
      <c r="F82" s="72"/>
      <c r="G82" s="118"/>
      <c r="H82" s="72"/>
      <c r="I82" s="72"/>
      <c r="J82" s="118"/>
      <c r="K82" s="72"/>
      <c r="L82" s="72"/>
      <c r="M82" s="118"/>
      <c r="N82" s="72"/>
      <c r="O82" s="72"/>
      <c r="P82" s="118"/>
      <c r="Q82" s="72"/>
      <c r="R82" s="72"/>
      <c r="S82" s="118"/>
      <c r="T82" s="72"/>
      <c r="U82" s="72"/>
      <c r="V82" s="118"/>
      <c r="W82" s="72"/>
      <c r="X82" s="72"/>
      <c r="Y82" s="118"/>
      <c r="Z82" s="72"/>
      <c r="AA82" s="72"/>
      <c r="AB82" s="121"/>
      <c r="AC82" s="72"/>
      <c r="AD82" s="72"/>
      <c r="AE82" s="118"/>
      <c r="AF82" s="72"/>
      <c r="AG82" s="72"/>
      <c r="AH82" s="118"/>
      <c r="AI82" s="72"/>
      <c r="AJ82" s="72"/>
      <c r="AK82" s="118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</row>
    <row r="83" spans="1:52" x14ac:dyDescent="0.35">
      <c r="A83" s="119"/>
      <c r="B83" s="126"/>
      <c r="C83" s="80"/>
      <c r="D83" s="72"/>
      <c r="E83" s="72"/>
      <c r="F83" s="72"/>
      <c r="G83" s="118"/>
      <c r="H83" s="72"/>
      <c r="I83" s="72"/>
      <c r="J83" s="118"/>
      <c r="K83" s="72"/>
      <c r="L83" s="72"/>
      <c r="M83" s="118"/>
      <c r="N83" s="72"/>
      <c r="O83" s="72"/>
      <c r="P83" s="118"/>
      <c r="Q83" s="72"/>
      <c r="R83" s="72"/>
      <c r="S83" s="118"/>
      <c r="T83" s="72"/>
      <c r="U83" s="72"/>
      <c r="V83" s="118"/>
      <c r="W83" s="72"/>
      <c r="X83" s="72"/>
      <c r="Y83" s="118"/>
      <c r="Z83" s="72"/>
      <c r="AA83" s="72"/>
      <c r="AB83" s="121"/>
      <c r="AC83" s="72"/>
      <c r="AD83" s="72"/>
      <c r="AE83" s="118"/>
      <c r="AF83" s="72"/>
      <c r="AG83" s="72"/>
      <c r="AH83" s="118"/>
      <c r="AI83" s="72"/>
      <c r="AJ83" s="72"/>
      <c r="AK83" s="118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</row>
    <row r="84" spans="1:52" x14ac:dyDescent="0.35">
      <c r="A84" s="119"/>
      <c r="B84" s="126"/>
      <c r="C84" s="80"/>
      <c r="D84" s="72"/>
      <c r="E84" s="72"/>
      <c r="F84" s="72"/>
      <c r="G84" s="118"/>
      <c r="H84" s="72"/>
      <c r="I84" s="72"/>
      <c r="J84" s="118"/>
      <c r="K84" s="73"/>
      <c r="L84" s="72"/>
      <c r="M84" s="118"/>
      <c r="N84" s="72"/>
      <c r="O84" s="72"/>
      <c r="P84" s="118"/>
      <c r="Q84" s="72"/>
      <c r="R84" s="72"/>
      <c r="S84" s="118"/>
      <c r="T84" s="72"/>
      <c r="U84" s="72"/>
      <c r="V84" s="118"/>
      <c r="W84" s="72"/>
      <c r="X84" s="72"/>
      <c r="Y84" s="118"/>
      <c r="Z84" s="72"/>
      <c r="AA84" s="72"/>
      <c r="AB84" s="121"/>
      <c r="AC84" s="72"/>
      <c r="AD84" s="72"/>
      <c r="AE84" s="118"/>
      <c r="AF84" s="72"/>
      <c r="AG84" s="72"/>
      <c r="AH84" s="118"/>
      <c r="AI84" s="72"/>
      <c r="AJ84" s="72"/>
      <c r="AK84" s="118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</row>
    <row r="85" spans="1:52" x14ac:dyDescent="0.35">
      <c r="A85" s="119"/>
      <c r="B85" s="126"/>
      <c r="C85" s="80"/>
      <c r="D85" s="72"/>
      <c r="E85" s="72"/>
      <c r="F85" s="72"/>
      <c r="G85" s="118"/>
      <c r="H85" s="72"/>
      <c r="I85" s="72"/>
      <c r="J85" s="118"/>
      <c r="K85" s="72"/>
      <c r="L85" s="73"/>
      <c r="M85" s="118"/>
      <c r="N85" s="72"/>
      <c r="O85" s="72"/>
      <c r="P85" s="118"/>
      <c r="Q85" s="72"/>
      <c r="R85" s="72"/>
      <c r="S85" s="118"/>
      <c r="T85" s="72"/>
      <c r="U85" s="72"/>
      <c r="V85" s="118"/>
      <c r="W85" s="72"/>
      <c r="X85" s="72"/>
      <c r="Y85" s="118"/>
      <c r="Z85" s="72"/>
      <c r="AA85" s="72"/>
      <c r="AB85" s="121"/>
      <c r="AC85" s="72"/>
      <c r="AD85" s="72"/>
      <c r="AE85" s="118"/>
      <c r="AF85" s="72"/>
      <c r="AG85" s="72"/>
      <c r="AH85" s="118"/>
      <c r="AI85" s="72"/>
      <c r="AJ85" s="72"/>
      <c r="AK85" s="118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</row>
    <row r="86" spans="1:52" ht="17.25" thickBot="1" x14ac:dyDescent="0.4">
      <c r="A86" s="119"/>
      <c r="B86" s="124"/>
      <c r="C86" s="80"/>
      <c r="D86" s="72"/>
      <c r="E86" s="72"/>
      <c r="F86" s="72"/>
      <c r="G86" s="121"/>
      <c r="H86" s="72"/>
      <c r="I86" s="72"/>
      <c r="J86" s="121"/>
      <c r="K86" s="72"/>
      <c r="L86" s="72"/>
      <c r="M86" s="121"/>
      <c r="N86" s="72"/>
      <c r="O86" s="72"/>
      <c r="P86" s="121"/>
      <c r="Q86" s="72"/>
      <c r="R86" s="72"/>
      <c r="S86" s="121"/>
      <c r="T86" s="72"/>
      <c r="U86" s="72"/>
      <c r="V86" s="121"/>
      <c r="W86" s="72"/>
      <c r="X86" s="72"/>
      <c r="Y86" s="121"/>
      <c r="Z86" s="72"/>
      <c r="AA86" s="72"/>
      <c r="AB86" s="121"/>
      <c r="AC86" s="72"/>
      <c r="AD86" s="72"/>
      <c r="AE86" s="121"/>
      <c r="AF86" s="72"/>
      <c r="AG86" s="72"/>
      <c r="AH86" s="121"/>
      <c r="AI86" s="72"/>
      <c r="AJ86" s="72"/>
      <c r="AK86" s="118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</row>
    <row r="87" spans="1:52" ht="30" x14ac:dyDescent="0.35">
      <c r="A87" s="119"/>
      <c r="B87" s="124"/>
      <c r="C87" s="80"/>
      <c r="D87" s="72"/>
      <c r="E87" s="72"/>
      <c r="F87" s="72"/>
      <c r="G87" s="121"/>
      <c r="H87" s="72"/>
      <c r="I87" s="72"/>
      <c r="J87" s="121"/>
      <c r="K87" s="72"/>
      <c r="L87" s="72"/>
      <c r="M87" s="121"/>
      <c r="N87" s="72"/>
      <c r="O87" s="72"/>
      <c r="P87" s="121"/>
      <c r="Q87" s="72"/>
      <c r="R87" s="72"/>
      <c r="S87" s="121"/>
      <c r="T87" s="72"/>
      <c r="U87" s="72"/>
      <c r="V87" s="121"/>
      <c r="W87" s="72"/>
      <c r="X87" s="72"/>
      <c r="Y87" s="121"/>
      <c r="Z87" s="72"/>
      <c r="AA87" s="72"/>
      <c r="AB87" s="121"/>
      <c r="AC87" s="72"/>
      <c r="AD87" s="72"/>
      <c r="AE87" s="121"/>
      <c r="AF87" s="72"/>
      <c r="AG87" s="72"/>
      <c r="AH87" s="121"/>
      <c r="AI87" s="72"/>
      <c r="AJ87" s="72"/>
      <c r="AK87" s="118"/>
      <c r="AL87" s="70"/>
      <c r="AM87" s="94"/>
      <c r="AN87" s="87" t="s">
        <v>4</v>
      </c>
      <c r="AO87" s="87" t="s">
        <v>5</v>
      </c>
      <c r="AP87" s="87" t="s">
        <v>6</v>
      </c>
      <c r="AQ87" s="87" t="s">
        <v>7</v>
      </c>
      <c r="AR87" s="87" t="s">
        <v>8</v>
      </c>
      <c r="AS87" s="87" t="s">
        <v>9</v>
      </c>
      <c r="AT87" s="87" t="s">
        <v>10</v>
      </c>
      <c r="AU87" s="87" t="s">
        <v>11</v>
      </c>
      <c r="AV87" s="87" t="s">
        <v>12</v>
      </c>
      <c r="AW87" s="87" t="s">
        <v>13</v>
      </c>
      <c r="AX87" s="88" t="s">
        <v>14</v>
      </c>
      <c r="AY87" s="70"/>
      <c r="AZ87" s="70"/>
    </row>
    <row r="88" spans="1:52" x14ac:dyDescent="0.35">
      <c r="A88" s="119"/>
      <c r="B88" s="124"/>
      <c r="C88" s="80"/>
      <c r="D88" s="72"/>
      <c r="E88" s="72"/>
      <c r="F88" s="72"/>
      <c r="G88" s="121"/>
      <c r="H88" s="72"/>
      <c r="I88" s="72"/>
      <c r="J88" s="121"/>
      <c r="K88" s="72"/>
      <c r="L88" s="72"/>
      <c r="M88" s="121"/>
      <c r="N88" s="72"/>
      <c r="O88" s="72"/>
      <c r="P88" s="121"/>
      <c r="Q88" s="72"/>
      <c r="R88" s="72"/>
      <c r="S88" s="121"/>
      <c r="T88" s="72"/>
      <c r="U88" s="72"/>
      <c r="V88" s="121"/>
      <c r="W88" s="72"/>
      <c r="X88" s="72"/>
      <c r="Y88" s="121"/>
      <c r="Z88" s="72"/>
      <c r="AA88" s="72"/>
      <c r="AB88" s="121"/>
      <c r="AC88" s="72"/>
      <c r="AD88" s="72"/>
      <c r="AE88" s="121"/>
      <c r="AF88" s="72"/>
      <c r="AG88" s="72"/>
      <c r="AH88" s="121"/>
      <c r="AI88" s="72"/>
      <c r="AJ88" s="72"/>
      <c r="AK88" s="118"/>
      <c r="AL88" s="70"/>
      <c r="AM88" s="89" t="s">
        <v>350</v>
      </c>
      <c r="AN88" s="70">
        <v>0</v>
      </c>
      <c r="AO88" s="70">
        <v>3</v>
      </c>
      <c r="AP88" s="70">
        <v>3</v>
      </c>
      <c r="AQ88" s="70">
        <v>0</v>
      </c>
      <c r="AR88" s="70">
        <v>0.5</v>
      </c>
      <c r="AS88" s="70">
        <v>1.5</v>
      </c>
      <c r="AT88" s="70">
        <v>1.5</v>
      </c>
      <c r="AU88" s="70">
        <v>1</v>
      </c>
      <c r="AV88" s="70">
        <v>0</v>
      </c>
      <c r="AW88" s="70">
        <v>0</v>
      </c>
      <c r="AX88" s="95">
        <v>1.5</v>
      </c>
      <c r="AY88" s="70"/>
      <c r="AZ88" s="70"/>
    </row>
    <row r="89" spans="1:52" x14ac:dyDescent="0.35">
      <c r="A89" s="119"/>
      <c r="B89" s="120"/>
      <c r="C89" s="80"/>
      <c r="D89" s="72"/>
      <c r="E89" s="73"/>
      <c r="F89" s="72"/>
      <c r="G89" s="118"/>
      <c r="H89" s="73"/>
      <c r="I89" s="72"/>
      <c r="J89" s="118"/>
      <c r="K89" s="73"/>
      <c r="L89" s="73"/>
      <c r="M89" s="118"/>
      <c r="N89" s="110"/>
      <c r="O89" s="73"/>
      <c r="P89" s="118"/>
      <c r="Q89" s="111"/>
      <c r="R89" s="73"/>
      <c r="S89" s="118"/>
      <c r="T89" s="72"/>
      <c r="U89" s="72"/>
      <c r="V89" s="118"/>
      <c r="W89" s="72"/>
      <c r="X89" s="72"/>
      <c r="Y89" s="118"/>
      <c r="Z89" s="73"/>
      <c r="AA89" s="73"/>
      <c r="AB89" s="118"/>
      <c r="AC89" s="72"/>
      <c r="AD89" s="73"/>
      <c r="AE89" s="118"/>
      <c r="AF89" s="73"/>
      <c r="AG89" s="73"/>
      <c r="AH89" s="118"/>
      <c r="AI89" s="72"/>
      <c r="AJ89" s="72"/>
      <c r="AK89" s="118"/>
      <c r="AL89" s="70"/>
      <c r="AM89" s="89" t="s">
        <v>333</v>
      </c>
      <c r="AN89" s="70">
        <v>0.6</v>
      </c>
      <c r="AO89" s="70">
        <v>2</v>
      </c>
      <c r="AP89" s="70">
        <v>2</v>
      </c>
      <c r="AQ89" s="70">
        <v>0.6</v>
      </c>
      <c r="AR89" s="70">
        <v>0.6</v>
      </c>
      <c r="AS89" s="70">
        <v>1.3</v>
      </c>
      <c r="AT89" s="70">
        <v>0.9</v>
      </c>
      <c r="AU89" s="70">
        <v>0.7</v>
      </c>
      <c r="AV89" s="70">
        <v>1.7</v>
      </c>
      <c r="AW89" s="70">
        <v>0.4</v>
      </c>
      <c r="AX89" s="95">
        <v>1.3</v>
      </c>
      <c r="AY89" s="70"/>
      <c r="AZ89" s="70"/>
    </row>
    <row r="90" spans="1:52" x14ac:dyDescent="0.35">
      <c r="A90" s="119"/>
      <c r="B90" s="120"/>
      <c r="C90" s="80"/>
      <c r="D90" s="72"/>
      <c r="E90" s="72"/>
      <c r="F90" s="72"/>
      <c r="G90" s="118"/>
      <c r="H90" s="73"/>
      <c r="I90" s="72"/>
      <c r="J90" s="118"/>
      <c r="K90" s="72"/>
      <c r="L90" s="72"/>
      <c r="M90" s="118"/>
      <c r="N90" s="72"/>
      <c r="O90" s="72"/>
      <c r="P90" s="118"/>
      <c r="Q90" s="72"/>
      <c r="R90" s="72"/>
      <c r="S90" s="118"/>
      <c r="T90" s="72"/>
      <c r="U90" s="72"/>
      <c r="V90" s="118"/>
      <c r="W90" s="72"/>
      <c r="X90" s="72"/>
      <c r="Y90" s="118"/>
      <c r="Z90" s="72"/>
      <c r="AA90" s="72"/>
      <c r="AB90" s="118"/>
      <c r="AC90" s="72"/>
      <c r="AD90" s="72"/>
      <c r="AE90" s="118"/>
      <c r="AF90" s="72"/>
      <c r="AG90" s="72"/>
      <c r="AH90" s="118"/>
      <c r="AI90" s="72"/>
      <c r="AJ90" s="72"/>
      <c r="AK90" s="118"/>
      <c r="AL90" s="70"/>
      <c r="AM90" s="89" t="s">
        <v>355</v>
      </c>
      <c r="AN90" s="70">
        <v>0</v>
      </c>
      <c r="AO90" s="70">
        <v>0.8</v>
      </c>
      <c r="AP90" s="70">
        <v>2.5</v>
      </c>
      <c r="AQ90" s="70">
        <v>0.4</v>
      </c>
      <c r="AR90" s="70">
        <v>0.4</v>
      </c>
      <c r="AS90" s="70">
        <v>1.3</v>
      </c>
      <c r="AT90" s="70">
        <v>1</v>
      </c>
      <c r="AU90" s="70">
        <v>1.1000000000000001</v>
      </c>
      <c r="AV90" s="70">
        <v>0.4</v>
      </c>
      <c r="AW90" s="70">
        <v>0</v>
      </c>
      <c r="AX90" s="95">
        <v>0.4</v>
      </c>
      <c r="AY90" s="70"/>
      <c r="AZ90" s="70"/>
    </row>
    <row r="91" spans="1:52" x14ac:dyDescent="0.35">
      <c r="A91" s="119"/>
      <c r="B91" s="120"/>
      <c r="C91" s="80"/>
      <c r="D91" s="72"/>
      <c r="E91" s="72"/>
      <c r="F91" s="72"/>
      <c r="G91" s="118"/>
      <c r="H91" s="72"/>
      <c r="I91" s="72"/>
      <c r="J91" s="118"/>
      <c r="K91" s="73"/>
      <c r="L91" s="73"/>
      <c r="M91" s="118"/>
      <c r="N91" s="110"/>
      <c r="O91" s="73"/>
      <c r="P91" s="118"/>
      <c r="Q91" s="111"/>
      <c r="R91" s="73"/>
      <c r="S91" s="118"/>
      <c r="T91" s="72"/>
      <c r="U91" s="72"/>
      <c r="V91" s="118"/>
      <c r="W91" s="72"/>
      <c r="X91" s="72"/>
      <c r="Y91" s="118"/>
      <c r="Z91" s="72"/>
      <c r="AA91" s="72"/>
      <c r="AB91" s="118"/>
      <c r="AC91" s="72"/>
      <c r="AD91" s="72"/>
      <c r="AE91" s="118"/>
      <c r="AF91" s="72"/>
      <c r="AG91" s="72"/>
      <c r="AH91" s="118"/>
      <c r="AI91" s="72"/>
      <c r="AJ91" s="72"/>
      <c r="AK91" s="118"/>
      <c r="AL91" s="70"/>
      <c r="AM91" s="89" t="s">
        <v>24</v>
      </c>
      <c r="AN91" s="70">
        <v>2</v>
      </c>
      <c r="AO91" s="70">
        <v>0.7</v>
      </c>
      <c r="AP91" s="70">
        <v>0.7</v>
      </c>
      <c r="AQ91" s="70">
        <v>0.3</v>
      </c>
      <c r="AR91" s="70">
        <v>0</v>
      </c>
      <c r="AS91" s="70">
        <v>1.3</v>
      </c>
      <c r="AT91" s="70">
        <v>0.3</v>
      </c>
      <c r="AU91" s="70">
        <v>0.7</v>
      </c>
      <c r="AV91" s="70">
        <v>2.2999999999999998</v>
      </c>
      <c r="AW91" s="70">
        <v>1</v>
      </c>
      <c r="AX91" s="95">
        <v>2</v>
      </c>
      <c r="AY91" s="70"/>
      <c r="AZ91" s="70"/>
    </row>
    <row r="92" spans="1:52" ht="17.25" thickBot="1" x14ac:dyDescent="0.4">
      <c r="A92" s="119" t="s">
        <v>408</v>
      </c>
      <c r="B92" s="80" t="s">
        <v>409</v>
      </c>
      <c r="C92" s="80"/>
      <c r="D92" s="72" t="s">
        <v>2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0"/>
      <c r="AM92" s="96" t="s">
        <v>361</v>
      </c>
      <c r="AN92" s="97">
        <v>0.3</v>
      </c>
      <c r="AO92" s="97">
        <v>1.7</v>
      </c>
      <c r="AP92" s="97">
        <v>1.3</v>
      </c>
      <c r="AQ92" s="97">
        <v>0.7</v>
      </c>
      <c r="AR92" s="97">
        <v>1.3</v>
      </c>
      <c r="AS92" s="97">
        <v>1</v>
      </c>
      <c r="AT92" s="97">
        <v>1</v>
      </c>
      <c r="AU92" s="97">
        <v>0.7</v>
      </c>
      <c r="AV92" s="97">
        <v>2</v>
      </c>
      <c r="AW92" s="97">
        <v>0.3</v>
      </c>
      <c r="AX92" s="98">
        <v>0</v>
      </c>
      <c r="AY92" s="70"/>
      <c r="AZ92" s="70"/>
    </row>
    <row r="93" spans="1:52" x14ac:dyDescent="0.35">
      <c r="A93" s="119"/>
      <c r="B93" s="80" t="s">
        <v>410</v>
      </c>
      <c r="C93" s="80"/>
      <c r="D93" s="72" t="s">
        <v>2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0"/>
      <c r="AM93" s="92" t="s">
        <v>382</v>
      </c>
      <c r="AN93" s="92">
        <v>0.57999999999999996</v>
      </c>
      <c r="AO93" s="92">
        <v>1.64</v>
      </c>
      <c r="AP93" s="92">
        <v>1.9</v>
      </c>
      <c r="AQ93" s="92">
        <v>0.4</v>
      </c>
      <c r="AR93" s="92">
        <v>0.56000000000000005</v>
      </c>
      <c r="AS93" s="92">
        <v>1.28</v>
      </c>
      <c r="AT93" s="92">
        <v>0.94</v>
      </c>
      <c r="AU93" s="92">
        <v>0.84</v>
      </c>
      <c r="AV93" s="92">
        <v>1.28</v>
      </c>
      <c r="AW93" s="92">
        <v>0.34</v>
      </c>
      <c r="AX93" s="92">
        <v>1.04</v>
      </c>
      <c r="AY93" s="70"/>
      <c r="AZ93" s="70"/>
    </row>
    <row r="94" spans="1:52" ht="30" x14ac:dyDescent="0.35">
      <c r="A94" s="119"/>
      <c r="B94" s="80" t="s">
        <v>411</v>
      </c>
      <c r="C94" s="80"/>
      <c r="D94" s="72" t="s">
        <v>2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</row>
    <row r="95" spans="1:52" x14ac:dyDescent="0.35">
      <c r="A95" s="119"/>
      <c r="B95" s="80" t="s">
        <v>412</v>
      </c>
      <c r="C95" s="80"/>
      <c r="D95" s="72" t="s">
        <v>2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</row>
    <row r="96" spans="1:52" x14ac:dyDescent="0.35">
      <c r="A96" s="119"/>
      <c r="B96" s="80" t="s">
        <v>413</v>
      </c>
      <c r="C96" s="80"/>
      <c r="D96" s="72" t="s">
        <v>2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</row>
    <row r="97" spans="1:52" x14ac:dyDescent="0.35">
      <c r="A97" s="119"/>
      <c r="B97" s="80" t="s">
        <v>414</v>
      </c>
      <c r="C97" s="80"/>
      <c r="D97" s="72" t="s">
        <v>2</v>
      </c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</row>
    <row r="98" spans="1:52" x14ac:dyDescent="0.35">
      <c r="A98" s="70"/>
      <c r="B98" s="70"/>
      <c r="C98" s="70"/>
      <c r="D98" s="84"/>
      <c r="E98" s="84"/>
      <c r="F98" s="84"/>
      <c r="G98" s="84"/>
      <c r="H98" s="84"/>
      <c r="I98" s="84"/>
      <c r="J98" s="84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</row>
    <row r="99" spans="1:52" x14ac:dyDescent="0.35">
      <c r="A99" s="70"/>
      <c r="B99" s="70"/>
      <c r="C99" s="70"/>
      <c r="D99" s="84"/>
      <c r="E99" s="84"/>
      <c r="F99" s="84"/>
      <c r="G99" s="84"/>
      <c r="H99" s="84"/>
      <c r="I99" s="84"/>
      <c r="J99" s="84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</row>
    <row r="100" spans="1:52" x14ac:dyDescent="0.35">
      <c r="A100" s="70"/>
      <c r="B100" s="70"/>
      <c r="C100" s="70"/>
      <c r="D100" s="84"/>
      <c r="E100" s="84"/>
      <c r="F100" s="84"/>
      <c r="G100" s="84"/>
      <c r="H100" s="84"/>
      <c r="I100" s="84"/>
      <c r="J100" s="84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</row>
    <row r="101" spans="1:52" x14ac:dyDescent="0.35">
      <c r="A101" s="70" t="s">
        <v>639</v>
      </c>
      <c r="B101" s="112">
        <v>46224</v>
      </c>
      <c r="C101" s="70"/>
      <c r="D101" s="84"/>
      <c r="E101" s="84"/>
      <c r="F101" s="84"/>
      <c r="G101" s="84"/>
      <c r="H101" s="84"/>
      <c r="I101" s="84"/>
      <c r="J101" s="84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</row>
    <row r="102" spans="1:52" x14ac:dyDescent="0.35">
      <c r="A102" s="70"/>
      <c r="B102" s="70"/>
      <c r="C102" s="70"/>
      <c r="D102" s="84"/>
      <c r="E102" s="84"/>
      <c r="F102" s="84"/>
      <c r="G102" s="84"/>
      <c r="H102" s="84"/>
      <c r="I102" s="84"/>
      <c r="J102" s="84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</row>
    <row r="103" spans="1:52" x14ac:dyDescent="0.35">
      <c r="A103" s="70"/>
      <c r="B103" s="70"/>
      <c r="C103" s="70"/>
      <c r="D103" s="84"/>
      <c r="E103" s="84"/>
      <c r="F103" s="84"/>
      <c r="G103" s="84"/>
      <c r="H103" s="84"/>
      <c r="I103" s="84"/>
      <c r="J103" s="84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</row>
    <row r="104" spans="1:52" x14ac:dyDescent="0.35">
      <c r="A104" s="70"/>
      <c r="B104" s="70"/>
      <c r="C104" s="70"/>
      <c r="D104" s="84"/>
      <c r="E104" s="84"/>
      <c r="F104" s="84"/>
      <c r="G104" s="84"/>
      <c r="H104" s="84"/>
      <c r="I104" s="84"/>
      <c r="J104" s="84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</row>
    <row r="105" spans="1:52" x14ac:dyDescent="0.35">
      <c r="A105" s="70"/>
      <c r="B105" s="70"/>
      <c r="C105" s="70"/>
      <c r="D105" s="84"/>
      <c r="E105" s="84"/>
      <c r="F105" s="84"/>
      <c r="G105" s="84"/>
      <c r="H105" s="84"/>
      <c r="I105" s="84"/>
      <c r="J105" s="84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</row>
    <row r="106" spans="1:52" x14ac:dyDescent="0.35">
      <c r="A106" s="70"/>
      <c r="B106" s="70"/>
      <c r="C106" s="70"/>
      <c r="D106" s="84"/>
      <c r="E106" s="84"/>
      <c r="F106" s="84"/>
      <c r="G106" s="84"/>
      <c r="H106" s="84"/>
      <c r="I106" s="84"/>
      <c r="J106" s="84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</row>
    <row r="107" spans="1:52" x14ac:dyDescent="0.35">
      <c r="A107" s="70"/>
      <c r="B107" s="70"/>
      <c r="C107" s="70"/>
      <c r="D107" s="84"/>
      <c r="E107" s="84"/>
      <c r="F107" s="84"/>
      <c r="G107" s="84"/>
      <c r="H107" s="84"/>
      <c r="I107" s="84"/>
      <c r="J107" s="84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</row>
    <row r="108" spans="1:52" x14ac:dyDescent="0.35">
      <c r="A108" s="70"/>
      <c r="B108" s="70"/>
      <c r="C108" s="70"/>
      <c r="D108" s="84"/>
      <c r="E108" s="84"/>
      <c r="F108" s="84"/>
      <c r="G108" s="84"/>
      <c r="H108" s="84"/>
      <c r="I108" s="84"/>
      <c r="J108" s="84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</row>
    <row r="109" spans="1:52" x14ac:dyDescent="0.35">
      <c r="A109" s="70"/>
      <c r="B109" s="70"/>
      <c r="C109" s="70"/>
      <c r="D109" s="84"/>
      <c r="E109" s="84"/>
      <c r="F109" s="84"/>
      <c r="G109" s="84"/>
      <c r="H109" s="84"/>
      <c r="I109" s="84"/>
      <c r="J109" s="84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</row>
    <row r="110" spans="1:52" x14ac:dyDescent="0.35">
      <c r="A110" s="70"/>
      <c r="B110" s="70"/>
      <c r="C110" s="70"/>
      <c r="D110" s="84"/>
      <c r="E110" s="84"/>
      <c r="F110" s="84"/>
      <c r="G110" s="84"/>
      <c r="H110" s="84"/>
      <c r="I110" s="84"/>
      <c r="J110" s="84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</row>
    <row r="111" spans="1:52" x14ac:dyDescent="0.35">
      <c r="A111" s="70"/>
      <c r="B111" s="70"/>
      <c r="C111" s="70"/>
      <c r="D111" s="84"/>
      <c r="E111" s="84"/>
      <c r="F111" s="84"/>
      <c r="G111" s="84"/>
      <c r="H111" s="84"/>
      <c r="I111" s="84"/>
      <c r="J111" s="84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</row>
    <row r="112" spans="1:52" x14ac:dyDescent="0.35">
      <c r="A112" s="70"/>
      <c r="B112" s="70"/>
      <c r="C112" s="70"/>
      <c r="D112" s="84"/>
      <c r="E112" s="84"/>
      <c r="F112" s="84"/>
      <c r="G112" s="84"/>
      <c r="H112" s="84"/>
      <c r="I112" s="84"/>
      <c r="J112" s="84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</row>
    <row r="113" spans="1:52" x14ac:dyDescent="0.35">
      <c r="A113" s="70"/>
      <c r="B113" s="70"/>
      <c r="C113" s="70"/>
      <c r="D113" s="84"/>
      <c r="E113" s="84"/>
      <c r="F113" s="84"/>
      <c r="G113" s="84"/>
      <c r="H113" s="84"/>
      <c r="I113" s="84"/>
      <c r="J113" s="84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</row>
    <row r="114" spans="1:52" x14ac:dyDescent="0.35">
      <c r="A114" s="70"/>
      <c r="B114" s="70"/>
      <c r="C114" s="70"/>
      <c r="D114" s="84"/>
      <c r="E114" s="84"/>
      <c r="F114" s="84"/>
      <c r="G114" s="84"/>
      <c r="H114" s="84"/>
      <c r="I114" s="84"/>
      <c r="J114" s="84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</row>
    <row r="115" spans="1:52" x14ac:dyDescent="0.35">
      <c r="A115" s="70"/>
      <c r="B115" s="70"/>
      <c r="C115" s="70"/>
      <c r="D115" s="84"/>
      <c r="E115" s="84"/>
      <c r="F115" s="84"/>
      <c r="G115" s="84"/>
      <c r="H115" s="84"/>
      <c r="I115" s="84"/>
      <c r="J115" s="84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</row>
    <row r="116" spans="1:52" x14ac:dyDescent="0.35">
      <c r="A116" s="70"/>
      <c r="B116" s="70"/>
      <c r="C116" s="70"/>
      <c r="D116" s="84"/>
      <c r="E116" s="84"/>
      <c r="F116" s="84"/>
      <c r="G116" s="84"/>
      <c r="H116" s="84"/>
      <c r="I116" s="84"/>
      <c r="J116" s="84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</row>
    <row r="117" spans="1:52" x14ac:dyDescent="0.35">
      <c r="A117" s="70"/>
      <c r="B117" s="70"/>
      <c r="C117" s="70"/>
      <c r="D117" s="84"/>
      <c r="E117" s="84"/>
      <c r="F117" s="84"/>
      <c r="G117" s="84"/>
      <c r="H117" s="84"/>
      <c r="I117" s="84"/>
      <c r="J117" s="84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</row>
    <row r="118" spans="1:52" x14ac:dyDescent="0.35">
      <c r="A118" s="70"/>
      <c r="B118" s="70"/>
      <c r="C118" s="70"/>
      <c r="D118" s="84"/>
      <c r="E118" s="84"/>
      <c r="F118" s="84"/>
      <c r="G118" s="84"/>
      <c r="H118" s="84"/>
      <c r="I118" s="84"/>
      <c r="J118" s="84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</row>
    <row r="119" spans="1:52" x14ac:dyDescent="0.35">
      <c r="A119" s="70"/>
      <c r="B119" s="70"/>
      <c r="C119" s="70"/>
      <c r="D119" s="84"/>
      <c r="E119" s="84"/>
      <c r="F119" s="84"/>
      <c r="G119" s="84"/>
      <c r="H119" s="84"/>
      <c r="I119" s="84"/>
      <c r="J119" s="84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</row>
    <row r="120" spans="1:52" x14ac:dyDescent="0.35">
      <c r="A120" s="70"/>
      <c r="B120" s="70"/>
      <c r="C120" s="70"/>
      <c r="D120" s="84"/>
      <c r="E120" s="84"/>
      <c r="F120" s="84"/>
      <c r="G120" s="84"/>
      <c r="H120" s="84"/>
      <c r="I120" s="84"/>
      <c r="J120" s="84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</row>
    <row r="121" spans="1:52" x14ac:dyDescent="0.35">
      <c r="A121" s="70"/>
      <c r="B121" s="70"/>
      <c r="C121" s="70"/>
      <c r="D121" s="84"/>
      <c r="E121" s="84"/>
      <c r="F121" s="84"/>
      <c r="G121" s="84"/>
      <c r="H121" s="84"/>
      <c r="I121" s="84"/>
      <c r="J121" s="84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</row>
    <row r="122" spans="1:52" x14ac:dyDescent="0.35">
      <c r="A122" s="70"/>
      <c r="B122" s="70"/>
      <c r="C122" s="70"/>
      <c r="D122" s="84"/>
      <c r="E122" s="84"/>
      <c r="F122" s="84"/>
      <c r="G122" s="84"/>
      <c r="H122" s="84"/>
      <c r="I122" s="84"/>
      <c r="J122" s="84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</row>
    <row r="123" spans="1:52" x14ac:dyDescent="0.35">
      <c r="A123" s="70"/>
      <c r="B123" s="70"/>
      <c r="C123" s="70"/>
      <c r="D123" s="84"/>
      <c r="E123" s="84"/>
      <c r="F123" s="84"/>
      <c r="G123" s="84"/>
      <c r="H123" s="84"/>
      <c r="I123" s="84"/>
      <c r="J123" s="84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</row>
    <row r="124" spans="1:52" x14ac:dyDescent="0.35">
      <c r="A124" s="70"/>
      <c r="B124" s="70"/>
      <c r="C124" s="70"/>
      <c r="D124" s="84"/>
      <c r="E124" s="84"/>
      <c r="F124" s="84"/>
      <c r="G124" s="84"/>
      <c r="H124" s="84"/>
      <c r="I124" s="84"/>
      <c r="J124" s="84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</row>
    <row r="125" spans="1:52" x14ac:dyDescent="0.35">
      <c r="A125" s="70"/>
      <c r="B125" s="70"/>
      <c r="C125" s="70"/>
      <c r="D125" s="84"/>
      <c r="E125" s="84"/>
      <c r="F125" s="84"/>
      <c r="G125" s="84"/>
      <c r="H125" s="84"/>
      <c r="I125" s="84"/>
      <c r="J125" s="84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</row>
    <row r="126" spans="1:52" x14ac:dyDescent="0.35">
      <c r="A126" s="70"/>
      <c r="B126" s="70"/>
      <c r="C126" s="70"/>
      <c r="D126" s="84"/>
      <c r="E126" s="84"/>
      <c r="F126" s="84"/>
      <c r="G126" s="84"/>
      <c r="H126" s="84"/>
      <c r="I126" s="84"/>
      <c r="J126" s="84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</row>
    <row r="127" spans="1:52" x14ac:dyDescent="0.35">
      <c r="A127" s="70"/>
      <c r="B127" s="70"/>
      <c r="C127" s="70"/>
      <c r="D127" s="84"/>
      <c r="E127" s="84"/>
      <c r="F127" s="84"/>
      <c r="G127" s="84"/>
      <c r="H127" s="84"/>
      <c r="I127" s="84"/>
      <c r="J127" s="84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</row>
    <row r="128" spans="1:52" x14ac:dyDescent="0.35">
      <c r="A128" s="70"/>
      <c r="B128" s="70"/>
      <c r="C128" s="70"/>
      <c r="D128" s="84"/>
      <c r="E128" s="84"/>
      <c r="F128" s="84"/>
      <c r="G128" s="84"/>
      <c r="H128" s="84"/>
      <c r="I128" s="84"/>
      <c r="J128" s="84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</row>
    <row r="129" spans="1:52" x14ac:dyDescent="0.35">
      <c r="A129" s="70"/>
      <c r="B129" s="70"/>
      <c r="C129" s="70"/>
      <c r="D129" s="84"/>
      <c r="E129" s="84"/>
      <c r="F129" s="84"/>
      <c r="G129" s="84"/>
      <c r="H129" s="84"/>
      <c r="I129" s="84"/>
      <c r="J129" s="84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</row>
  </sheetData>
  <mergeCells count="172">
    <mergeCell ref="AK9:AK17"/>
    <mergeCell ref="U1:V1"/>
    <mergeCell ref="X1:Y1"/>
    <mergeCell ref="AA1:AB1"/>
    <mergeCell ref="AD1:AE1"/>
    <mergeCell ref="AG1:AH1"/>
    <mergeCell ref="AJ1:AK1"/>
    <mergeCell ref="F1:G1"/>
    <mergeCell ref="I1:J1"/>
    <mergeCell ref="L1:M1"/>
    <mergeCell ref="O1:P1"/>
    <mergeCell ref="R1:S1"/>
    <mergeCell ref="AE31:AE41"/>
    <mergeCell ref="AH3:AH8"/>
    <mergeCell ref="AK3:AK8"/>
    <mergeCell ref="B9:B17"/>
    <mergeCell ref="G9:G17"/>
    <mergeCell ref="J9:J17"/>
    <mergeCell ref="M9:M17"/>
    <mergeCell ref="P9:P17"/>
    <mergeCell ref="S9:S17"/>
    <mergeCell ref="V9:V17"/>
    <mergeCell ref="S3:S8"/>
    <mergeCell ref="V3:V8"/>
    <mergeCell ref="Y3:Y8"/>
    <mergeCell ref="AB3:AB8"/>
    <mergeCell ref="AE3:AE8"/>
    <mergeCell ref="B3:B8"/>
    <mergeCell ref="G3:G8"/>
    <mergeCell ref="J3:J8"/>
    <mergeCell ref="M3:M8"/>
    <mergeCell ref="P3:P8"/>
    <mergeCell ref="Y9:Y17"/>
    <mergeCell ref="AB9:AB17"/>
    <mergeCell ref="AE9:AE17"/>
    <mergeCell ref="AH9:AH17"/>
    <mergeCell ref="AH31:AH41"/>
    <mergeCell ref="AK31:AK41"/>
    <mergeCell ref="AH18:AH29"/>
    <mergeCell ref="AK18:AK29"/>
    <mergeCell ref="B26:B29"/>
    <mergeCell ref="B30:B41"/>
    <mergeCell ref="G31:G41"/>
    <mergeCell ref="J31:J41"/>
    <mergeCell ref="M31:M41"/>
    <mergeCell ref="P31:P41"/>
    <mergeCell ref="S31:S41"/>
    <mergeCell ref="S18:S29"/>
    <mergeCell ref="V18:V29"/>
    <mergeCell ref="Y18:Y29"/>
    <mergeCell ref="AB18:AB29"/>
    <mergeCell ref="AE18:AE29"/>
    <mergeCell ref="B18:B23"/>
    <mergeCell ref="G18:G29"/>
    <mergeCell ref="J18:J29"/>
    <mergeCell ref="M18:M29"/>
    <mergeCell ref="P18:P29"/>
    <mergeCell ref="V31:V41"/>
    <mergeCell ref="Y31:Y41"/>
    <mergeCell ref="AB31:AB41"/>
    <mergeCell ref="AB46:AB57"/>
    <mergeCell ref="AE46:AE57"/>
    <mergeCell ref="AH46:AH57"/>
    <mergeCell ref="AK46:AK57"/>
    <mergeCell ref="B58:B63"/>
    <mergeCell ref="G58:G63"/>
    <mergeCell ref="J58:J63"/>
    <mergeCell ref="M58:M63"/>
    <mergeCell ref="P58:P63"/>
    <mergeCell ref="S58:S63"/>
    <mergeCell ref="M46:M57"/>
    <mergeCell ref="P46:P57"/>
    <mergeCell ref="S46:S57"/>
    <mergeCell ref="V46:V57"/>
    <mergeCell ref="Y46:Y57"/>
    <mergeCell ref="B46:B57"/>
    <mergeCell ref="G46:G57"/>
    <mergeCell ref="J46:J57"/>
    <mergeCell ref="AK58:AK63"/>
    <mergeCell ref="AB58:AB63"/>
    <mergeCell ref="AE58:AE63"/>
    <mergeCell ref="AH58:AH63"/>
    <mergeCell ref="AB71:AB77"/>
    <mergeCell ref="AE64:AE65"/>
    <mergeCell ref="AH64:AH65"/>
    <mergeCell ref="AK64:AK65"/>
    <mergeCell ref="B66:B68"/>
    <mergeCell ref="G66:G68"/>
    <mergeCell ref="J66:J68"/>
    <mergeCell ref="M66:M68"/>
    <mergeCell ref="P66:P68"/>
    <mergeCell ref="S66:S68"/>
    <mergeCell ref="AK66:AK68"/>
    <mergeCell ref="Y66:Y68"/>
    <mergeCell ref="AB66:AB68"/>
    <mergeCell ref="AE66:AE68"/>
    <mergeCell ref="AH66:AH68"/>
    <mergeCell ref="B64:B65"/>
    <mergeCell ref="G64:G65"/>
    <mergeCell ref="J64:J65"/>
    <mergeCell ref="M64:M65"/>
    <mergeCell ref="P64:P65"/>
    <mergeCell ref="S64:S65"/>
    <mergeCell ref="V64:V65"/>
    <mergeCell ref="Y64:Y65"/>
    <mergeCell ref="V66:V68"/>
    <mergeCell ref="AB64:AB65"/>
    <mergeCell ref="Y58:Y63"/>
    <mergeCell ref="B69:B70"/>
    <mergeCell ref="G69:G70"/>
    <mergeCell ref="J69:J70"/>
    <mergeCell ref="M69:M70"/>
    <mergeCell ref="P69:P70"/>
    <mergeCell ref="S69:S70"/>
    <mergeCell ref="V69:V70"/>
    <mergeCell ref="Y71:Y77"/>
    <mergeCell ref="B78:B85"/>
    <mergeCell ref="G78:G85"/>
    <mergeCell ref="J78:J85"/>
    <mergeCell ref="M78:M85"/>
    <mergeCell ref="P78:P85"/>
    <mergeCell ref="S78:S85"/>
    <mergeCell ref="V78:V85"/>
    <mergeCell ref="V58:V63"/>
    <mergeCell ref="AB78:AB85"/>
    <mergeCell ref="A3:A68"/>
    <mergeCell ref="B42:B45"/>
    <mergeCell ref="AH78:AH85"/>
    <mergeCell ref="AK78:AK85"/>
    <mergeCell ref="B86:B88"/>
    <mergeCell ref="G86:G88"/>
    <mergeCell ref="J86:J88"/>
    <mergeCell ref="M86:M88"/>
    <mergeCell ref="P86:P88"/>
    <mergeCell ref="Y69:Y70"/>
    <mergeCell ref="AB69:AB70"/>
    <mergeCell ref="AE69:AE70"/>
    <mergeCell ref="AH69:AH70"/>
    <mergeCell ref="AK69:AK70"/>
    <mergeCell ref="B71:B77"/>
    <mergeCell ref="G71:G77"/>
    <mergeCell ref="J71:J77"/>
    <mergeCell ref="M71:M77"/>
    <mergeCell ref="P71:P77"/>
    <mergeCell ref="AH71:AH77"/>
    <mergeCell ref="AK71:AK77"/>
    <mergeCell ref="S71:S77"/>
    <mergeCell ref="V71:V77"/>
    <mergeCell ref="AE78:AE85"/>
    <mergeCell ref="AE71:AE77"/>
    <mergeCell ref="Y89:Y91"/>
    <mergeCell ref="AB89:AB91"/>
    <mergeCell ref="AE89:AE91"/>
    <mergeCell ref="AH89:AH91"/>
    <mergeCell ref="AK89:AK91"/>
    <mergeCell ref="A92:A97"/>
    <mergeCell ref="AH86:AH88"/>
    <mergeCell ref="AK86:AK88"/>
    <mergeCell ref="B89:B91"/>
    <mergeCell ref="G89:G91"/>
    <mergeCell ref="J89:J91"/>
    <mergeCell ref="M89:M91"/>
    <mergeCell ref="P89:P91"/>
    <mergeCell ref="S89:S91"/>
    <mergeCell ref="V89:V91"/>
    <mergeCell ref="S86:S88"/>
    <mergeCell ref="V86:V88"/>
    <mergeCell ref="Y86:Y88"/>
    <mergeCell ref="AB86:AB88"/>
    <mergeCell ref="AE86:AE88"/>
    <mergeCell ref="A69:A91"/>
    <mergeCell ref="Y78:Y85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9A17-47E0-433A-9BCF-9D4D2976BB6E}">
  <dimension ref="A1:BC129"/>
  <sheetViews>
    <sheetView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102" sqref="B102"/>
    </sheetView>
  </sheetViews>
  <sheetFormatPr defaultColWidth="9" defaultRowHeight="16.5" x14ac:dyDescent="0.35"/>
  <cols>
    <col min="1" max="1" width="13.28515625" style="9" customWidth="1"/>
    <col min="2" max="2" width="13.7109375" style="9" customWidth="1"/>
    <col min="3" max="3" width="31.85546875" style="9" customWidth="1"/>
    <col min="4" max="4" width="9" style="14"/>
    <col min="5" max="5" width="13.140625" style="14" bestFit="1" customWidth="1"/>
    <col min="6" max="6" width="4.42578125" style="14" bestFit="1" customWidth="1"/>
    <col min="7" max="7" width="4.42578125" style="14" customWidth="1"/>
    <col min="8" max="8" width="15.85546875" style="14" customWidth="1"/>
    <col min="9" max="9" width="4.42578125" style="14" bestFit="1" customWidth="1"/>
    <col min="10" max="10" width="4.42578125" style="14" customWidth="1"/>
    <col min="11" max="11" width="17" style="9" customWidth="1"/>
    <col min="12" max="12" width="4.42578125" style="9" bestFit="1" customWidth="1"/>
    <col min="13" max="13" width="4.42578125" style="9" customWidth="1"/>
    <col min="14" max="14" width="15.28515625" style="9" customWidth="1"/>
    <col min="15" max="15" width="4.42578125" style="9" bestFit="1" customWidth="1"/>
    <col min="16" max="16" width="4.42578125" style="9" customWidth="1"/>
    <col min="17" max="17" width="13.140625" style="9" bestFit="1" customWidth="1"/>
    <col min="18" max="18" width="4.42578125" style="9" bestFit="1" customWidth="1"/>
    <col min="19" max="19" width="4.42578125" style="9" customWidth="1"/>
    <col min="20" max="20" width="11.5703125" style="9" bestFit="1" customWidth="1"/>
    <col min="21" max="21" width="4.42578125" style="9" bestFit="1" customWidth="1"/>
    <col min="22" max="22" width="4.42578125" style="9" customWidth="1"/>
    <col min="23" max="23" width="12.42578125" style="9" bestFit="1" customWidth="1"/>
    <col min="24" max="24" width="4.42578125" style="9" bestFit="1" customWidth="1"/>
    <col min="25" max="25" width="4.42578125" style="9" customWidth="1"/>
    <col min="26" max="26" width="12.7109375" style="9" bestFit="1" customWidth="1"/>
    <col min="27" max="27" width="4.42578125" style="9" bestFit="1" customWidth="1"/>
    <col min="28" max="28" width="4.42578125" style="9" customWidth="1"/>
    <col min="29" max="29" width="13.5703125" style="9" bestFit="1" customWidth="1"/>
    <col min="30" max="30" width="4.42578125" style="9" bestFit="1" customWidth="1"/>
    <col min="31" max="31" width="4.42578125" style="9" customWidth="1"/>
    <col min="32" max="32" width="12.5703125" style="9" bestFit="1" customWidth="1"/>
    <col min="33" max="33" width="4.42578125" style="9" bestFit="1" customWidth="1"/>
    <col min="34" max="34" width="4.42578125" style="9" customWidth="1"/>
    <col min="35" max="35" width="13.140625" style="9" bestFit="1" customWidth="1"/>
    <col min="36" max="36" width="4.42578125" style="9" bestFit="1" customWidth="1"/>
    <col min="37" max="37" width="4.42578125" style="9" customWidth="1"/>
    <col min="38" max="38" width="12.5703125" style="9" customWidth="1"/>
    <col min="39" max="40" width="4.42578125" style="9" bestFit="1" customWidth="1"/>
    <col min="41" max="41" width="10.28515625" style="9" customWidth="1"/>
    <col min="42" max="16384" width="9" style="9"/>
  </cols>
  <sheetData>
    <row r="1" spans="1:55" ht="34.5" customHeight="1" x14ac:dyDescent="0.35">
      <c r="A1" s="76" t="s">
        <v>313</v>
      </c>
      <c r="B1" s="76" t="s">
        <v>314</v>
      </c>
      <c r="C1" s="77" t="s">
        <v>315</v>
      </c>
      <c r="D1" s="78" t="s">
        <v>316</v>
      </c>
      <c r="E1" s="78" t="s">
        <v>516</v>
      </c>
      <c r="F1" s="134" t="s">
        <v>317</v>
      </c>
      <c r="G1" s="135"/>
      <c r="H1" s="78" t="s">
        <v>592</v>
      </c>
      <c r="I1" s="134" t="s">
        <v>317</v>
      </c>
      <c r="J1" s="135"/>
      <c r="K1" s="78" t="s">
        <v>517</v>
      </c>
      <c r="L1" s="134" t="s">
        <v>317</v>
      </c>
      <c r="M1" s="135"/>
      <c r="N1" s="78" t="s">
        <v>518</v>
      </c>
      <c r="O1" s="134" t="s">
        <v>317</v>
      </c>
      <c r="P1" s="135"/>
      <c r="Q1" s="78" t="s">
        <v>606</v>
      </c>
      <c r="R1" s="134" t="s">
        <v>317</v>
      </c>
      <c r="S1" s="135"/>
      <c r="T1" s="78" t="s">
        <v>519</v>
      </c>
      <c r="U1" s="134" t="s">
        <v>317</v>
      </c>
      <c r="V1" s="135"/>
      <c r="W1" s="78" t="s">
        <v>520</v>
      </c>
      <c r="X1" s="134" t="s">
        <v>317</v>
      </c>
      <c r="Y1" s="135"/>
      <c r="Z1" s="78" t="s">
        <v>521</v>
      </c>
      <c r="AA1" s="134" t="s">
        <v>317</v>
      </c>
      <c r="AB1" s="135"/>
      <c r="AC1" s="78"/>
      <c r="AD1" s="134" t="s">
        <v>317</v>
      </c>
      <c r="AE1" s="135"/>
      <c r="AF1" s="78"/>
      <c r="AG1" s="134" t="s">
        <v>317</v>
      </c>
      <c r="AH1" s="135"/>
      <c r="AI1" s="78"/>
      <c r="AJ1" s="134" t="s">
        <v>317</v>
      </c>
      <c r="AK1" s="135"/>
      <c r="AL1" s="78"/>
      <c r="AM1" s="134" t="s">
        <v>317</v>
      </c>
      <c r="AN1" s="135"/>
      <c r="AO1" s="70"/>
      <c r="AP1" s="79" t="s">
        <v>318</v>
      </c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</row>
    <row r="2" spans="1:55" s="61" customFormat="1" ht="30" x14ac:dyDescent="0.35">
      <c r="A2" s="99" t="s">
        <v>557</v>
      </c>
      <c r="B2" s="101" t="s">
        <v>559</v>
      </c>
      <c r="C2" s="101" t="s">
        <v>573</v>
      </c>
      <c r="D2" s="101" t="s">
        <v>558</v>
      </c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90"/>
      <c r="AP2" s="10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</row>
    <row r="3" spans="1:55" ht="15" customHeight="1" x14ac:dyDescent="0.35">
      <c r="A3" s="136" t="s">
        <v>319</v>
      </c>
      <c r="B3" s="126" t="s">
        <v>320</v>
      </c>
      <c r="C3" s="80" t="s">
        <v>527</v>
      </c>
      <c r="D3" s="80" t="s">
        <v>0</v>
      </c>
      <c r="E3" s="80"/>
      <c r="F3" s="80"/>
      <c r="G3" s="130"/>
      <c r="H3" s="80">
        <v>52180</v>
      </c>
      <c r="I3" s="80"/>
      <c r="J3" s="130"/>
      <c r="K3" s="72">
        <v>51278</v>
      </c>
      <c r="L3" s="72"/>
      <c r="M3" s="122"/>
      <c r="N3" s="72">
        <v>45572</v>
      </c>
      <c r="O3" s="72"/>
      <c r="P3" s="122"/>
      <c r="Q3" s="72"/>
      <c r="R3" s="72"/>
      <c r="S3" s="122"/>
      <c r="T3" s="72"/>
      <c r="U3" s="72"/>
      <c r="V3" s="122"/>
      <c r="W3" s="72"/>
      <c r="X3" s="72"/>
      <c r="Y3" s="122"/>
      <c r="Z3" s="72"/>
      <c r="AA3" s="72"/>
      <c r="AB3" s="122"/>
      <c r="AC3" s="72"/>
      <c r="AD3" s="72"/>
      <c r="AE3" s="122"/>
      <c r="AF3" s="72"/>
      <c r="AG3" s="72"/>
      <c r="AH3" s="122"/>
      <c r="AI3" s="72"/>
      <c r="AJ3" s="72"/>
      <c r="AK3" s="122"/>
      <c r="AL3" s="72"/>
      <c r="AM3" s="72"/>
      <c r="AN3" s="122"/>
      <c r="AO3" s="70" t="s">
        <v>320</v>
      </c>
      <c r="AP3" s="81" t="s">
        <v>322</v>
      </c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</row>
    <row r="4" spans="1:55" ht="13.9" customHeight="1" x14ac:dyDescent="0.35">
      <c r="A4" s="137"/>
      <c r="B4" s="126"/>
      <c r="C4" s="80" t="s">
        <v>323</v>
      </c>
      <c r="D4" s="80" t="s">
        <v>1</v>
      </c>
      <c r="E4" s="80"/>
      <c r="F4" s="80"/>
      <c r="G4" s="133"/>
      <c r="H4" s="80">
        <v>3315</v>
      </c>
      <c r="I4" s="80"/>
      <c r="J4" s="133"/>
      <c r="K4" s="72">
        <v>3631</v>
      </c>
      <c r="L4" s="72"/>
      <c r="M4" s="118"/>
      <c r="N4" s="72">
        <v>3000</v>
      </c>
      <c r="O4" s="72"/>
      <c r="P4" s="118"/>
      <c r="Q4" s="72"/>
      <c r="R4" s="72"/>
      <c r="S4" s="118"/>
      <c r="T4" s="72"/>
      <c r="U4" s="72"/>
      <c r="V4" s="118"/>
      <c r="W4" s="72"/>
      <c r="X4" s="72"/>
      <c r="Y4" s="118"/>
      <c r="Z4" s="72"/>
      <c r="AA4" s="72"/>
      <c r="AB4" s="118"/>
      <c r="AC4" s="72"/>
      <c r="AD4" s="72"/>
      <c r="AE4" s="118"/>
      <c r="AF4" s="72"/>
      <c r="AG4" s="72"/>
      <c r="AH4" s="118"/>
      <c r="AI4" s="72"/>
      <c r="AJ4" s="72"/>
      <c r="AK4" s="118"/>
      <c r="AL4" s="72"/>
      <c r="AM4" s="72"/>
      <c r="AN4" s="118"/>
      <c r="AO4" s="70" t="s">
        <v>324</v>
      </c>
      <c r="AP4" s="81" t="s">
        <v>325</v>
      </c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</row>
    <row r="5" spans="1:55" ht="13.9" customHeight="1" x14ac:dyDescent="0.35">
      <c r="A5" s="137"/>
      <c r="B5" s="126"/>
      <c r="C5" s="80" t="s">
        <v>326</v>
      </c>
      <c r="D5" s="80" t="s">
        <v>1</v>
      </c>
      <c r="E5" s="80"/>
      <c r="F5" s="80"/>
      <c r="G5" s="133"/>
      <c r="H5" s="80">
        <v>3780</v>
      </c>
      <c r="I5" s="80"/>
      <c r="J5" s="133"/>
      <c r="K5" s="72">
        <v>3792</v>
      </c>
      <c r="L5" s="72"/>
      <c r="M5" s="118"/>
      <c r="N5" s="72">
        <v>3800</v>
      </c>
      <c r="O5" s="72"/>
      <c r="P5" s="118"/>
      <c r="Q5" s="72"/>
      <c r="R5" s="72"/>
      <c r="S5" s="118"/>
      <c r="T5" s="72"/>
      <c r="U5" s="72"/>
      <c r="V5" s="118"/>
      <c r="W5" s="72"/>
      <c r="X5" s="72"/>
      <c r="Y5" s="118"/>
      <c r="Z5" s="72"/>
      <c r="AA5" s="72"/>
      <c r="AB5" s="118"/>
      <c r="AC5" s="72"/>
      <c r="AD5" s="72"/>
      <c r="AE5" s="118"/>
      <c r="AF5" s="72"/>
      <c r="AG5" s="72"/>
      <c r="AH5" s="118"/>
      <c r="AI5" s="72"/>
      <c r="AJ5" s="72"/>
      <c r="AK5" s="118"/>
      <c r="AL5" s="72"/>
      <c r="AM5" s="72"/>
      <c r="AN5" s="118"/>
      <c r="AO5" s="70" t="s">
        <v>327</v>
      </c>
      <c r="AP5" s="81" t="s">
        <v>328</v>
      </c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</row>
    <row r="6" spans="1:55" ht="13.9" customHeight="1" x14ac:dyDescent="0.35">
      <c r="A6" s="137"/>
      <c r="B6" s="126"/>
      <c r="C6" s="80" t="s">
        <v>329</v>
      </c>
      <c r="D6" s="80" t="s">
        <v>1</v>
      </c>
      <c r="E6" s="80"/>
      <c r="F6" s="80"/>
      <c r="G6" s="133"/>
      <c r="H6" s="80">
        <v>16190</v>
      </c>
      <c r="I6" s="80"/>
      <c r="J6" s="133"/>
      <c r="K6" s="72">
        <v>16732</v>
      </c>
      <c r="L6" s="72"/>
      <c r="M6" s="118"/>
      <c r="N6" s="72">
        <v>15370</v>
      </c>
      <c r="O6" s="72"/>
      <c r="P6" s="118"/>
      <c r="Q6" s="72"/>
      <c r="R6" s="72"/>
      <c r="S6" s="118"/>
      <c r="T6" s="72"/>
      <c r="U6" s="72"/>
      <c r="V6" s="118"/>
      <c r="W6" s="72"/>
      <c r="X6" s="72"/>
      <c r="Y6" s="118"/>
      <c r="Z6" s="72"/>
      <c r="AA6" s="72"/>
      <c r="AB6" s="118"/>
      <c r="AC6" s="72"/>
      <c r="AD6" s="72"/>
      <c r="AE6" s="118"/>
      <c r="AF6" s="72"/>
      <c r="AG6" s="72"/>
      <c r="AH6" s="118"/>
      <c r="AI6" s="72"/>
      <c r="AJ6" s="72"/>
      <c r="AK6" s="118"/>
      <c r="AL6" s="72"/>
      <c r="AM6" s="72"/>
      <c r="AN6" s="118"/>
      <c r="AO6" s="70"/>
      <c r="AP6" s="81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</row>
    <row r="7" spans="1:55" ht="13.9" customHeight="1" x14ac:dyDescent="0.35">
      <c r="A7" s="137"/>
      <c r="B7" s="126"/>
      <c r="C7" s="80" t="s">
        <v>554</v>
      </c>
      <c r="D7" s="80" t="s">
        <v>0</v>
      </c>
      <c r="E7" s="80"/>
      <c r="F7" s="80"/>
      <c r="G7" s="133"/>
      <c r="H7" s="80">
        <v>29302</v>
      </c>
      <c r="I7" s="80"/>
      <c r="J7" s="133"/>
      <c r="K7" s="72">
        <v>25769</v>
      </c>
      <c r="L7" s="72"/>
      <c r="M7" s="118"/>
      <c r="N7" s="72">
        <v>26762</v>
      </c>
      <c r="O7" s="72"/>
      <c r="P7" s="118"/>
      <c r="Q7" s="72"/>
      <c r="R7" s="72"/>
      <c r="S7" s="118"/>
      <c r="T7" s="72"/>
      <c r="U7" s="72"/>
      <c r="V7" s="118"/>
      <c r="W7" s="72"/>
      <c r="X7" s="72"/>
      <c r="Y7" s="118"/>
      <c r="Z7" s="72"/>
      <c r="AA7" s="72"/>
      <c r="AB7" s="118"/>
      <c r="AC7" s="72"/>
      <c r="AD7" s="72"/>
      <c r="AE7" s="118"/>
      <c r="AF7" s="72"/>
      <c r="AG7" s="72"/>
      <c r="AH7" s="118"/>
      <c r="AI7" s="72"/>
      <c r="AJ7" s="72"/>
      <c r="AK7" s="118"/>
      <c r="AL7" s="72"/>
      <c r="AM7" s="72"/>
      <c r="AN7" s="118"/>
      <c r="AO7" s="70"/>
      <c r="AP7" s="81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</row>
    <row r="8" spans="1:55" ht="15" customHeight="1" x14ac:dyDescent="0.35">
      <c r="A8" s="137"/>
      <c r="B8" s="126"/>
      <c r="C8" s="10" t="s">
        <v>555</v>
      </c>
      <c r="D8" s="7"/>
      <c r="E8" s="80"/>
      <c r="F8" s="80"/>
      <c r="G8" s="131"/>
      <c r="H8" s="80">
        <v>3</v>
      </c>
      <c r="I8" s="80"/>
      <c r="J8" s="131"/>
      <c r="K8" s="72"/>
      <c r="L8" s="72"/>
      <c r="M8" s="125"/>
      <c r="N8" s="72">
        <v>7</v>
      </c>
      <c r="O8" s="72"/>
      <c r="P8" s="125"/>
      <c r="Q8" s="72"/>
      <c r="R8" s="72"/>
      <c r="S8" s="125"/>
      <c r="T8" s="72"/>
      <c r="U8" s="72"/>
      <c r="V8" s="125"/>
      <c r="W8" s="72"/>
      <c r="X8" s="72"/>
      <c r="Y8" s="125"/>
      <c r="Z8" s="72"/>
      <c r="AA8" s="72"/>
      <c r="AB8" s="125"/>
      <c r="AC8" s="72"/>
      <c r="AD8" s="72"/>
      <c r="AE8" s="125"/>
      <c r="AF8" s="72"/>
      <c r="AG8" s="72"/>
      <c r="AH8" s="125"/>
      <c r="AI8" s="72"/>
      <c r="AJ8" s="72"/>
      <c r="AK8" s="125"/>
      <c r="AL8" s="72"/>
      <c r="AM8" s="72"/>
      <c r="AN8" s="125"/>
      <c r="AO8" s="70" t="s">
        <v>330</v>
      </c>
      <c r="AP8" s="81" t="s">
        <v>331</v>
      </c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</row>
    <row r="9" spans="1:55" ht="13.9" customHeight="1" x14ac:dyDescent="0.35">
      <c r="A9" s="137"/>
      <c r="B9" s="126" t="s">
        <v>324</v>
      </c>
      <c r="C9" s="80" t="s">
        <v>528</v>
      </c>
      <c r="D9" s="80" t="s">
        <v>529</v>
      </c>
      <c r="E9" s="80"/>
      <c r="F9" s="80"/>
      <c r="G9" s="130"/>
      <c r="H9" s="80">
        <v>4</v>
      </c>
      <c r="I9" s="80"/>
      <c r="J9" s="130"/>
      <c r="K9" s="72">
        <v>24</v>
      </c>
      <c r="L9" s="72"/>
      <c r="M9" s="122"/>
      <c r="N9" s="72">
        <v>25.4</v>
      </c>
      <c r="O9" s="72"/>
      <c r="P9" s="122"/>
      <c r="Q9" s="72"/>
      <c r="R9" s="72"/>
      <c r="S9" s="122"/>
      <c r="T9" s="72"/>
      <c r="U9" s="72"/>
      <c r="V9" s="122"/>
      <c r="W9" s="72"/>
      <c r="X9" s="72"/>
      <c r="Y9" s="122"/>
      <c r="Z9" s="72"/>
      <c r="AA9" s="72"/>
      <c r="AB9" s="122"/>
      <c r="AC9" s="72"/>
      <c r="AD9" s="72"/>
      <c r="AE9" s="122"/>
      <c r="AF9" s="72"/>
      <c r="AG9" s="72"/>
      <c r="AH9" s="122"/>
      <c r="AI9" s="72"/>
      <c r="AJ9" s="72"/>
      <c r="AK9" s="122"/>
      <c r="AL9" s="72"/>
      <c r="AM9" s="72"/>
      <c r="AN9" s="122"/>
      <c r="AO9" s="70" t="s">
        <v>333</v>
      </c>
      <c r="AP9" s="81" t="s">
        <v>334</v>
      </c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</row>
    <row r="10" spans="1:55" ht="13.9" customHeight="1" x14ac:dyDescent="0.35">
      <c r="A10" s="137"/>
      <c r="B10" s="126"/>
      <c r="C10" s="80" t="s">
        <v>556</v>
      </c>
      <c r="D10" s="80" t="s">
        <v>529</v>
      </c>
      <c r="E10" s="80"/>
      <c r="F10" s="80"/>
      <c r="G10" s="133"/>
      <c r="H10" s="80">
        <v>15</v>
      </c>
      <c r="I10" s="80"/>
      <c r="J10" s="133"/>
      <c r="K10" s="72">
        <v>16</v>
      </c>
      <c r="L10" s="72"/>
      <c r="M10" s="118"/>
      <c r="N10" s="72">
        <v>25.4</v>
      </c>
      <c r="O10" s="72"/>
      <c r="P10" s="118"/>
      <c r="Q10" s="72"/>
      <c r="R10" s="72"/>
      <c r="S10" s="118"/>
      <c r="T10" s="72"/>
      <c r="U10" s="72"/>
      <c r="V10" s="118"/>
      <c r="W10" s="72"/>
      <c r="X10" s="72"/>
      <c r="Y10" s="118"/>
      <c r="Z10" s="72"/>
      <c r="AA10" s="72"/>
      <c r="AB10" s="118"/>
      <c r="AC10" s="72"/>
      <c r="AD10" s="72"/>
      <c r="AE10" s="118"/>
      <c r="AF10" s="72"/>
      <c r="AG10" s="72"/>
      <c r="AH10" s="118"/>
      <c r="AI10" s="72"/>
      <c r="AJ10" s="72"/>
      <c r="AK10" s="118"/>
      <c r="AL10" s="72"/>
      <c r="AM10" s="72"/>
      <c r="AN10" s="118"/>
      <c r="AO10" s="70"/>
      <c r="AP10" s="81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</row>
    <row r="11" spans="1:55" ht="13.9" customHeight="1" x14ac:dyDescent="0.35">
      <c r="A11" s="137"/>
      <c r="B11" s="126"/>
      <c r="C11" s="80" t="s">
        <v>335</v>
      </c>
      <c r="D11" s="80" t="s">
        <v>1</v>
      </c>
      <c r="E11" s="80"/>
      <c r="F11" s="80"/>
      <c r="G11" s="133"/>
      <c r="H11" s="80">
        <v>6001</v>
      </c>
      <c r="I11" s="80"/>
      <c r="J11" s="133"/>
      <c r="K11" s="72">
        <v>6000</v>
      </c>
      <c r="L11" s="72"/>
      <c r="M11" s="118"/>
      <c r="N11" s="72">
        <v>4900</v>
      </c>
      <c r="O11" s="72"/>
      <c r="P11" s="118"/>
      <c r="Q11" s="72"/>
      <c r="R11" s="72"/>
      <c r="S11" s="118"/>
      <c r="T11" s="72"/>
      <c r="U11" s="72"/>
      <c r="V11" s="118"/>
      <c r="W11" s="72"/>
      <c r="X11" s="72"/>
      <c r="Y11" s="118"/>
      <c r="Z11" s="72"/>
      <c r="AA11" s="72"/>
      <c r="AB11" s="118"/>
      <c r="AC11" s="72"/>
      <c r="AD11" s="72"/>
      <c r="AE11" s="118"/>
      <c r="AF11" s="72"/>
      <c r="AG11" s="72"/>
      <c r="AH11" s="118"/>
      <c r="AI11" s="72"/>
      <c r="AJ11" s="72"/>
      <c r="AK11" s="118"/>
      <c r="AL11" s="72"/>
      <c r="AM11" s="72"/>
      <c r="AN11" s="118"/>
      <c r="AO11" s="70" t="s">
        <v>336</v>
      </c>
      <c r="AP11" s="81" t="s">
        <v>337</v>
      </c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</row>
    <row r="12" spans="1:55" ht="13.9" customHeight="1" x14ac:dyDescent="0.35">
      <c r="A12" s="137"/>
      <c r="B12" s="126"/>
      <c r="C12" s="80" t="s">
        <v>537</v>
      </c>
      <c r="D12" s="80"/>
      <c r="E12" s="80"/>
      <c r="F12" s="80"/>
      <c r="G12" s="133"/>
      <c r="H12" s="80" t="s">
        <v>578</v>
      </c>
      <c r="I12" s="80"/>
      <c r="J12" s="133"/>
      <c r="K12" s="72" t="s">
        <v>579</v>
      </c>
      <c r="L12" s="72"/>
      <c r="M12" s="118"/>
      <c r="N12" s="72" t="s">
        <v>580</v>
      </c>
      <c r="O12" s="72"/>
      <c r="P12" s="118"/>
      <c r="Q12" s="72"/>
      <c r="R12" s="72"/>
      <c r="S12" s="118"/>
      <c r="T12" s="72"/>
      <c r="U12" s="72"/>
      <c r="V12" s="118"/>
      <c r="W12" s="72"/>
      <c r="X12" s="72"/>
      <c r="Y12" s="118"/>
      <c r="Z12" s="72"/>
      <c r="AA12" s="72"/>
      <c r="AB12" s="118"/>
      <c r="AC12" s="72"/>
      <c r="AD12" s="72"/>
      <c r="AE12" s="118"/>
      <c r="AF12" s="72"/>
      <c r="AG12" s="72"/>
      <c r="AH12" s="118"/>
      <c r="AI12" s="72"/>
      <c r="AJ12" s="72"/>
      <c r="AK12" s="118"/>
      <c r="AL12" s="72"/>
      <c r="AM12" s="72"/>
      <c r="AN12" s="118"/>
      <c r="AO12" s="70"/>
      <c r="AP12" s="81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</row>
    <row r="13" spans="1:55" ht="13.9" customHeight="1" x14ac:dyDescent="0.35">
      <c r="A13" s="137"/>
      <c r="B13" s="126"/>
      <c r="C13" s="80" t="s">
        <v>530</v>
      </c>
      <c r="D13" s="80"/>
      <c r="E13" s="80"/>
      <c r="F13" s="80"/>
      <c r="G13" s="133"/>
      <c r="H13" s="80">
        <v>4</v>
      </c>
      <c r="I13" s="80"/>
      <c r="J13" s="133"/>
      <c r="K13" s="72">
        <v>4</v>
      </c>
      <c r="L13" s="72"/>
      <c r="M13" s="118"/>
      <c r="N13" s="72">
        <v>4</v>
      </c>
      <c r="O13" s="72"/>
      <c r="P13" s="118"/>
      <c r="Q13" s="72"/>
      <c r="R13" s="72"/>
      <c r="S13" s="118"/>
      <c r="T13" s="72"/>
      <c r="U13" s="72"/>
      <c r="V13" s="118"/>
      <c r="W13" s="72"/>
      <c r="X13" s="72"/>
      <c r="Y13" s="118"/>
      <c r="Z13" s="72"/>
      <c r="AA13" s="72"/>
      <c r="AB13" s="118"/>
      <c r="AC13" s="72"/>
      <c r="AD13" s="72"/>
      <c r="AE13" s="118"/>
      <c r="AF13" s="72"/>
      <c r="AG13" s="72"/>
      <c r="AH13" s="118"/>
      <c r="AI13" s="72"/>
      <c r="AJ13" s="72"/>
      <c r="AK13" s="118"/>
      <c r="AL13" s="72"/>
      <c r="AM13" s="72"/>
      <c r="AN13" s="118"/>
      <c r="AO13" s="70" t="s">
        <v>339</v>
      </c>
      <c r="AP13" s="81" t="s">
        <v>340</v>
      </c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</row>
    <row r="14" spans="1:55" ht="13.9" customHeight="1" x14ac:dyDescent="0.35">
      <c r="A14" s="137"/>
      <c r="B14" s="126"/>
      <c r="C14" s="80" t="s">
        <v>607</v>
      </c>
      <c r="D14" s="80" t="s">
        <v>142</v>
      </c>
      <c r="E14" s="80"/>
      <c r="F14" s="80"/>
      <c r="G14" s="133"/>
      <c r="H14" s="80">
        <v>9.9</v>
      </c>
      <c r="I14" s="80"/>
      <c r="J14" s="133"/>
      <c r="K14" s="72">
        <v>10.6</v>
      </c>
      <c r="L14" s="72"/>
      <c r="M14" s="118"/>
      <c r="N14" s="72">
        <v>6.66</v>
      </c>
      <c r="O14" s="72"/>
      <c r="P14" s="118"/>
      <c r="Q14" s="72"/>
      <c r="R14" s="72"/>
      <c r="S14" s="118"/>
      <c r="T14" s="72"/>
      <c r="U14" s="72"/>
      <c r="V14" s="118"/>
      <c r="W14" s="72"/>
      <c r="X14" s="72"/>
      <c r="Y14" s="118"/>
      <c r="Z14" s="72"/>
      <c r="AA14" s="72"/>
      <c r="AB14" s="118"/>
      <c r="AC14" s="72"/>
      <c r="AD14" s="72"/>
      <c r="AE14" s="118"/>
      <c r="AF14" s="72"/>
      <c r="AG14" s="72"/>
      <c r="AH14" s="118"/>
      <c r="AI14" s="72"/>
      <c r="AJ14" s="72"/>
      <c r="AK14" s="118"/>
      <c r="AL14" s="72"/>
      <c r="AM14" s="72"/>
      <c r="AN14" s="118"/>
      <c r="AO14" s="70"/>
      <c r="AP14" s="81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</row>
    <row r="15" spans="1:55" ht="13.9" customHeight="1" x14ac:dyDescent="0.35">
      <c r="A15" s="137"/>
      <c r="B15" s="126"/>
      <c r="C15" s="80" t="s">
        <v>608</v>
      </c>
      <c r="D15" s="80" t="s">
        <v>575</v>
      </c>
      <c r="E15" s="80"/>
      <c r="F15" s="80"/>
      <c r="G15" s="133"/>
      <c r="H15" s="80">
        <v>44</v>
      </c>
      <c r="I15" s="80"/>
      <c r="J15" s="133"/>
      <c r="K15" s="72">
        <v>93</v>
      </c>
      <c r="L15" s="72"/>
      <c r="M15" s="118"/>
      <c r="N15" s="72" t="s">
        <v>628</v>
      </c>
      <c r="O15" s="72"/>
      <c r="P15" s="118"/>
      <c r="Q15" s="72"/>
      <c r="R15" s="72"/>
      <c r="S15" s="118"/>
      <c r="T15" s="72"/>
      <c r="U15" s="72"/>
      <c r="V15" s="118"/>
      <c r="W15" s="72"/>
      <c r="X15" s="72"/>
      <c r="Y15" s="118"/>
      <c r="Z15" s="72"/>
      <c r="AA15" s="72"/>
      <c r="AB15" s="118"/>
      <c r="AC15" s="72"/>
      <c r="AD15" s="72"/>
      <c r="AE15" s="118"/>
      <c r="AF15" s="72"/>
      <c r="AG15" s="72"/>
      <c r="AH15" s="118"/>
      <c r="AI15" s="72"/>
      <c r="AJ15" s="72"/>
      <c r="AK15" s="118"/>
      <c r="AL15" s="72"/>
      <c r="AM15" s="72"/>
      <c r="AN15" s="118"/>
      <c r="AO15" s="70"/>
      <c r="AP15" s="81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</row>
    <row r="16" spans="1:55" ht="13.9" customHeight="1" x14ac:dyDescent="0.35">
      <c r="A16" s="137"/>
      <c r="B16" s="126"/>
      <c r="C16" s="80" t="s">
        <v>531</v>
      </c>
      <c r="D16" s="80" t="s">
        <v>563</v>
      </c>
      <c r="E16" s="80"/>
      <c r="F16" s="80"/>
      <c r="G16" s="133"/>
      <c r="H16" s="80">
        <v>12.6</v>
      </c>
      <c r="I16" s="80"/>
      <c r="J16" s="133"/>
      <c r="K16" s="72">
        <v>17</v>
      </c>
      <c r="L16" s="72"/>
      <c r="M16" s="118"/>
      <c r="N16" s="72">
        <v>27</v>
      </c>
      <c r="O16" s="72"/>
      <c r="P16" s="118"/>
      <c r="Q16" s="72"/>
      <c r="R16" s="72"/>
      <c r="S16" s="118"/>
      <c r="T16" s="72"/>
      <c r="U16" s="72"/>
      <c r="V16" s="118"/>
      <c r="W16" s="72"/>
      <c r="X16" s="72"/>
      <c r="Y16" s="118"/>
      <c r="Z16" s="72"/>
      <c r="AA16" s="72"/>
      <c r="AB16" s="118"/>
      <c r="AC16" s="72"/>
      <c r="AD16" s="72"/>
      <c r="AE16" s="118"/>
      <c r="AF16" s="72"/>
      <c r="AG16" s="72"/>
      <c r="AH16" s="118"/>
      <c r="AI16" s="72"/>
      <c r="AJ16" s="72"/>
      <c r="AK16" s="118"/>
      <c r="AL16" s="72"/>
      <c r="AM16" s="72"/>
      <c r="AN16" s="118"/>
      <c r="AO16" s="70"/>
      <c r="AP16" s="81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</row>
    <row r="17" spans="1:55" ht="13.9" customHeight="1" x14ac:dyDescent="0.35">
      <c r="A17" s="137"/>
      <c r="B17" s="126"/>
      <c r="C17" s="80" t="s">
        <v>532</v>
      </c>
      <c r="D17" s="80" t="s">
        <v>563</v>
      </c>
      <c r="E17" s="80"/>
      <c r="F17" s="80"/>
      <c r="G17" s="131"/>
      <c r="H17" s="80">
        <v>17.399999999999999</v>
      </c>
      <c r="I17" s="80"/>
      <c r="J17" s="131"/>
      <c r="K17" s="72">
        <v>17</v>
      </c>
      <c r="L17" s="72"/>
      <c r="M17" s="125"/>
      <c r="N17" s="72">
        <v>27</v>
      </c>
      <c r="O17" s="72"/>
      <c r="P17" s="125"/>
      <c r="Q17" s="72"/>
      <c r="R17" s="72"/>
      <c r="S17" s="125"/>
      <c r="T17" s="72"/>
      <c r="U17" s="72"/>
      <c r="V17" s="125"/>
      <c r="W17" s="72"/>
      <c r="X17" s="72"/>
      <c r="Y17" s="125"/>
      <c r="Z17" s="72"/>
      <c r="AA17" s="72"/>
      <c r="AB17" s="125"/>
      <c r="AC17" s="72"/>
      <c r="AD17" s="72"/>
      <c r="AE17" s="125"/>
      <c r="AF17" s="72"/>
      <c r="AG17" s="72"/>
      <c r="AH17" s="125"/>
      <c r="AI17" s="72"/>
      <c r="AJ17" s="72"/>
      <c r="AK17" s="125"/>
      <c r="AL17" s="72"/>
      <c r="AM17" s="72"/>
      <c r="AN17" s="125"/>
      <c r="AO17" s="70" t="s">
        <v>342</v>
      </c>
      <c r="AP17" s="81" t="s">
        <v>343</v>
      </c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</row>
    <row r="18" spans="1:55" ht="13.9" customHeight="1" x14ac:dyDescent="0.35">
      <c r="A18" s="137"/>
      <c r="B18" s="130" t="s">
        <v>582</v>
      </c>
      <c r="C18" s="80" t="s">
        <v>522</v>
      </c>
      <c r="D18" s="80" t="s">
        <v>142</v>
      </c>
      <c r="E18" s="80"/>
      <c r="F18" s="80"/>
      <c r="G18" s="130"/>
      <c r="H18" s="80">
        <v>13.05</v>
      </c>
      <c r="I18" s="80"/>
      <c r="J18" s="130"/>
      <c r="K18" s="72">
        <v>13.68</v>
      </c>
      <c r="L18" s="72"/>
      <c r="M18" s="122"/>
      <c r="N18" s="72">
        <v>12.9</v>
      </c>
      <c r="O18" s="72"/>
      <c r="P18" s="122"/>
      <c r="Q18" s="72"/>
      <c r="R18" s="72"/>
      <c r="S18" s="122"/>
      <c r="T18" s="72"/>
      <c r="U18" s="72"/>
      <c r="V18" s="122"/>
      <c r="W18" s="72"/>
      <c r="X18" s="72"/>
      <c r="Y18" s="122"/>
      <c r="Z18" s="72"/>
      <c r="AA18" s="72"/>
      <c r="AB18" s="122"/>
      <c r="AC18" s="72"/>
      <c r="AD18" s="72"/>
      <c r="AE18" s="122"/>
      <c r="AF18" s="72"/>
      <c r="AG18" s="72"/>
      <c r="AH18" s="122"/>
      <c r="AI18" s="72"/>
      <c r="AJ18" s="72"/>
      <c r="AK18" s="122"/>
      <c r="AL18" s="72"/>
      <c r="AM18" s="72"/>
      <c r="AN18" s="122"/>
      <c r="AO18" s="70" t="s">
        <v>345</v>
      </c>
      <c r="AP18" s="81" t="s">
        <v>346</v>
      </c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</row>
    <row r="19" spans="1:55" ht="13.9" customHeight="1" x14ac:dyDescent="0.35">
      <c r="A19" s="137"/>
      <c r="B19" s="133"/>
      <c r="C19" s="80" t="s">
        <v>523</v>
      </c>
      <c r="D19" s="80" t="s">
        <v>142</v>
      </c>
      <c r="E19" s="80"/>
      <c r="F19" s="80"/>
      <c r="G19" s="133"/>
      <c r="H19" s="80">
        <v>61</v>
      </c>
      <c r="I19" s="80"/>
      <c r="J19" s="133"/>
      <c r="K19" s="72">
        <v>62.5</v>
      </c>
      <c r="L19" s="72"/>
      <c r="M19" s="118"/>
      <c r="N19" s="72">
        <v>59.5</v>
      </c>
      <c r="O19" s="72"/>
      <c r="P19" s="118"/>
      <c r="Q19" s="72"/>
      <c r="R19" s="72"/>
      <c r="S19" s="118"/>
      <c r="T19" s="72"/>
      <c r="U19" s="72"/>
      <c r="V19" s="118"/>
      <c r="W19" s="72"/>
      <c r="X19" s="72"/>
      <c r="Y19" s="118"/>
      <c r="Z19" s="72"/>
      <c r="AA19" s="72"/>
      <c r="AB19" s="118"/>
      <c r="AC19" s="72"/>
      <c r="AD19" s="84"/>
      <c r="AE19" s="118"/>
      <c r="AF19" s="84"/>
      <c r="AG19" s="72"/>
      <c r="AH19" s="118"/>
      <c r="AI19" s="72"/>
      <c r="AJ19" s="72"/>
      <c r="AK19" s="118"/>
      <c r="AL19" s="72"/>
      <c r="AM19" s="72"/>
      <c r="AN19" s="118"/>
      <c r="AO19" s="70"/>
      <c r="AP19" s="79" t="s">
        <v>348</v>
      </c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</row>
    <row r="20" spans="1:55" ht="13.9" customHeight="1" x14ac:dyDescent="0.35">
      <c r="A20" s="137"/>
      <c r="B20" s="133"/>
      <c r="C20" s="80" t="s">
        <v>524</v>
      </c>
      <c r="D20" s="80" t="s">
        <v>142</v>
      </c>
      <c r="E20" s="80"/>
      <c r="F20" s="80"/>
      <c r="G20" s="133"/>
      <c r="H20" s="80">
        <v>17.98</v>
      </c>
      <c r="I20" s="80"/>
      <c r="J20" s="133"/>
      <c r="K20" s="72">
        <v>17.8</v>
      </c>
      <c r="L20" s="72"/>
      <c r="M20" s="118"/>
      <c r="N20" s="72">
        <v>16.8</v>
      </c>
      <c r="O20" s="72"/>
      <c r="P20" s="118"/>
      <c r="Q20" s="72"/>
      <c r="R20" s="72"/>
      <c r="S20" s="118"/>
      <c r="T20" s="72"/>
      <c r="U20" s="72"/>
      <c r="V20" s="118"/>
      <c r="W20" s="72"/>
      <c r="X20" s="72"/>
      <c r="Y20" s="118"/>
      <c r="Z20" s="72"/>
      <c r="AA20" s="72"/>
      <c r="AB20" s="118"/>
      <c r="AC20" s="72"/>
      <c r="AD20" s="72"/>
      <c r="AE20" s="118"/>
      <c r="AF20" s="72"/>
      <c r="AG20" s="72"/>
      <c r="AH20" s="118"/>
      <c r="AI20" s="72"/>
      <c r="AJ20" s="72"/>
      <c r="AK20" s="118"/>
      <c r="AL20" s="72"/>
      <c r="AM20" s="72"/>
      <c r="AN20" s="118"/>
      <c r="AO20" s="70" t="s">
        <v>350</v>
      </c>
      <c r="AP20" s="81" t="s">
        <v>351</v>
      </c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</row>
    <row r="21" spans="1:55" ht="13.9" customHeight="1" x14ac:dyDescent="0.35">
      <c r="A21" s="137"/>
      <c r="B21" s="133"/>
      <c r="C21" s="80" t="s">
        <v>525</v>
      </c>
      <c r="D21" s="80" t="s">
        <v>142</v>
      </c>
      <c r="E21" s="80"/>
      <c r="F21" s="80"/>
      <c r="G21" s="133"/>
      <c r="H21" s="80" t="s">
        <v>585</v>
      </c>
      <c r="I21" s="80"/>
      <c r="J21" s="133"/>
      <c r="K21" s="72" t="s">
        <v>614</v>
      </c>
      <c r="L21" s="72"/>
      <c r="M21" s="118"/>
      <c r="N21" s="72" t="s">
        <v>622</v>
      </c>
      <c r="O21" s="72"/>
      <c r="P21" s="118"/>
      <c r="Q21" s="72"/>
      <c r="R21" s="72"/>
      <c r="S21" s="118"/>
      <c r="T21" s="72"/>
      <c r="U21" s="72"/>
      <c r="V21" s="118"/>
      <c r="W21" s="72"/>
      <c r="X21" s="72"/>
      <c r="Y21" s="118"/>
      <c r="Z21" s="72"/>
      <c r="AA21" s="72"/>
      <c r="AB21" s="118"/>
      <c r="AC21" s="72"/>
      <c r="AD21" s="72"/>
      <c r="AE21" s="118"/>
      <c r="AF21" s="72"/>
      <c r="AG21" s="72"/>
      <c r="AH21" s="118"/>
      <c r="AI21" s="72"/>
      <c r="AJ21" s="72"/>
      <c r="AK21" s="118"/>
      <c r="AL21" s="72"/>
      <c r="AM21" s="72"/>
      <c r="AN21" s="118"/>
      <c r="AO21" s="70" t="s">
        <v>333</v>
      </c>
      <c r="AP21" s="81" t="s">
        <v>353</v>
      </c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</row>
    <row r="22" spans="1:55" ht="13.9" customHeight="1" x14ac:dyDescent="0.35">
      <c r="A22" s="137"/>
      <c r="B22" s="133"/>
      <c r="C22" s="80" t="s">
        <v>552</v>
      </c>
      <c r="D22" s="80" t="s">
        <v>563</v>
      </c>
      <c r="E22" s="80"/>
      <c r="F22" s="80"/>
      <c r="G22" s="133"/>
      <c r="H22" s="105" t="s">
        <v>584</v>
      </c>
      <c r="I22" s="80"/>
      <c r="J22" s="133"/>
      <c r="K22" s="72" t="s">
        <v>613</v>
      </c>
      <c r="L22" s="72"/>
      <c r="M22" s="118"/>
      <c r="N22" s="72" t="s">
        <v>623</v>
      </c>
      <c r="O22" s="72"/>
      <c r="P22" s="118"/>
      <c r="Q22" s="72"/>
      <c r="R22" s="72"/>
      <c r="S22" s="118"/>
      <c r="T22" s="72"/>
      <c r="U22" s="72"/>
      <c r="V22" s="118"/>
      <c r="W22" s="72"/>
      <c r="X22" s="72"/>
      <c r="Y22" s="118"/>
      <c r="Z22" s="72"/>
      <c r="AA22" s="72"/>
      <c r="AB22" s="118"/>
      <c r="AC22" s="72"/>
      <c r="AD22" s="72"/>
      <c r="AE22" s="118"/>
      <c r="AF22" s="72"/>
      <c r="AG22" s="72"/>
      <c r="AH22" s="118"/>
      <c r="AI22" s="72"/>
      <c r="AJ22" s="72"/>
      <c r="AK22" s="118"/>
      <c r="AL22" s="72"/>
      <c r="AM22" s="72"/>
      <c r="AN22" s="118"/>
      <c r="AO22" s="70"/>
      <c r="AP22" s="81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</row>
    <row r="23" spans="1:55" ht="13.9" customHeight="1" x14ac:dyDescent="0.35">
      <c r="A23" s="137"/>
      <c r="B23" s="131"/>
      <c r="C23" s="80" t="s">
        <v>553</v>
      </c>
      <c r="D23" s="80" t="s">
        <v>544</v>
      </c>
      <c r="E23" s="80"/>
      <c r="F23" s="80"/>
      <c r="G23" s="133"/>
      <c r="H23" s="80" t="s">
        <v>583</v>
      </c>
      <c r="I23" s="80"/>
      <c r="J23" s="133"/>
      <c r="K23" s="72" t="s">
        <v>612</v>
      </c>
      <c r="L23" s="72"/>
      <c r="M23" s="118"/>
      <c r="N23" s="72" t="s">
        <v>624</v>
      </c>
      <c r="O23" s="72"/>
      <c r="P23" s="118"/>
      <c r="Q23" s="72"/>
      <c r="R23" s="72"/>
      <c r="S23" s="118"/>
      <c r="T23" s="72"/>
      <c r="U23" s="72"/>
      <c r="V23" s="118"/>
      <c r="W23" s="72"/>
      <c r="X23" s="72"/>
      <c r="Y23" s="118"/>
      <c r="Z23" s="72"/>
      <c r="AA23" s="72"/>
      <c r="AB23" s="118"/>
      <c r="AC23" s="72"/>
      <c r="AD23" s="72"/>
      <c r="AE23" s="118"/>
      <c r="AF23" s="72"/>
      <c r="AG23" s="72"/>
      <c r="AH23" s="118"/>
      <c r="AI23" s="72"/>
      <c r="AJ23" s="72"/>
      <c r="AK23" s="118"/>
      <c r="AL23" s="72"/>
      <c r="AM23" s="72"/>
      <c r="AN23" s="118"/>
      <c r="AO23" s="70"/>
      <c r="AP23" s="81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</row>
    <row r="24" spans="1:55" ht="13.9" customHeight="1" x14ac:dyDescent="0.35">
      <c r="A24" s="137"/>
      <c r="B24" s="104"/>
      <c r="C24" s="80" t="s">
        <v>526</v>
      </c>
      <c r="D24" s="80" t="s">
        <v>1</v>
      </c>
      <c r="E24" s="80"/>
      <c r="F24" s="80"/>
      <c r="G24" s="133"/>
      <c r="H24" s="80">
        <v>4596</v>
      </c>
      <c r="I24" s="80"/>
      <c r="J24" s="133"/>
      <c r="K24" s="72">
        <v>4876</v>
      </c>
      <c r="L24" s="72"/>
      <c r="M24" s="118"/>
      <c r="N24" s="72">
        <v>4720</v>
      </c>
      <c r="O24" s="72"/>
      <c r="P24" s="118"/>
      <c r="Q24" s="72"/>
      <c r="R24" s="72"/>
      <c r="S24" s="118"/>
      <c r="T24" s="72"/>
      <c r="U24" s="72"/>
      <c r="V24" s="118"/>
      <c r="W24" s="72"/>
      <c r="X24" s="72"/>
      <c r="Y24" s="118"/>
      <c r="Z24" s="72"/>
      <c r="AA24" s="72"/>
      <c r="AB24" s="118"/>
      <c r="AC24" s="72"/>
      <c r="AD24" s="72"/>
      <c r="AE24" s="118"/>
      <c r="AF24" s="72"/>
      <c r="AG24" s="72"/>
      <c r="AH24" s="118"/>
      <c r="AI24" s="72"/>
      <c r="AJ24" s="72"/>
      <c r="AK24" s="118"/>
      <c r="AL24" s="72"/>
      <c r="AM24" s="72"/>
      <c r="AN24" s="118"/>
      <c r="AO24" s="70" t="s">
        <v>355</v>
      </c>
      <c r="AP24" s="81" t="s">
        <v>356</v>
      </c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</row>
    <row r="25" spans="1:55" ht="13.9" customHeight="1" x14ac:dyDescent="0.35">
      <c r="A25" s="137"/>
      <c r="B25" s="104"/>
      <c r="C25" s="80" t="s">
        <v>598</v>
      </c>
      <c r="D25" s="80" t="s">
        <v>563</v>
      </c>
      <c r="E25" s="80"/>
      <c r="F25" s="80"/>
      <c r="G25" s="133"/>
      <c r="H25" s="106" t="s">
        <v>599</v>
      </c>
      <c r="I25" s="80"/>
      <c r="J25" s="133"/>
      <c r="K25" s="72" t="s">
        <v>611</v>
      </c>
      <c r="L25" s="72"/>
      <c r="M25" s="118"/>
      <c r="N25" s="72" t="s">
        <v>611</v>
      </c>
      <c r="O25" s="72"/>
      <c r="P25" s="118"/>
      <c r="Q25" s="72"/>
      <c r="R25" s="72"/>
      <c r="S25" s="118"/>
      <c r="T25" s="72"/>
      <c r="U25" s="72"/>
      <c r="V25" s="118"/>
      <c r="W25" s="72"/>
      <c r="X25" s="72"/>
      <c r="Y25" s="118"/>
      <c r="Z25" s="72"/>
      <c r="AA25" s="72"/>
      <c r="AB25" s="118"/>
      <c r="AC25" s="72"/>
      <c r="AD25" s="72"/>
      <c r="AE25" s="118"/>
      <c r="AF25" s="72"/>
      <c r="AG25" s="72"/>
      <c r="AH25" s="118"/>
      <c r="AI25" s="72"/>
      <c r="AJ25" s="72"/>
      <c r="AK25" s="118"/>
      <c r="AL25" s="72"/>
      <c r="AM25" s="72"/>
      <c r="AN25" s="118"/>
      <c r="AO25" s="70"/>
      <c r="AP25" s="81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</row>
    <row r="26" spans="1:55" ht="13.9" customHeight="1" x14ac:dyDescent="0.35">
      <c r="A26" s="137"/>
      <c r="B26" s="130" t="s">
        <v>581</v>
      </c>
      <c r="C26" s="80" t="s">
        <v>533</v>
      </c>
      <c r="D26" s="80" t="s">
        <v>1</v>
      </c>
      <c r="E26" s="80"/>
      <c r="F26" s="80"/>
      <c r="G26" s="133"/>
      <c r="H26" s="80"/>
      <c r="I26" s="80"/>
      <c r="J26" s="133"/>
      <c r="K26" s="72">
        <v>272</v>
      </c>
      <c r="L26" s="72"/>
      <c r="M26" s="118"/>
      <c r="N26" s="72">
        <v>300</v>
      </c>
      <c r="O26" s="72"/>
      <c r="P26" s="118"/>
      <c r="Q26" s="72"/>
      <c r="R26" s="72"/>
      <c r="S26" s="118"/>
      <c r="T26" s="72"/>
      <c r="U26" s="72"/>
      <c r="V26" s="118"/>
      <c r="W26" s="72"/>
      <c r="X26" s="72"/>
      <c r="Y26" s="118"/>
      <c r="Z26" s="72"/>
      <c r="AA26" s="72"/>
      <c r="AB26" s="118"/>
      <c r="AC26" s="72"/>
      <c r="AD26" s="72"/>
      <c r="AE26" s="118"/>
      <c r="AF26" s="72"/>
      <c r="AG26" s="72"/>
      <c r="AH26" s="118"/>
      <c r="AI26" s="72"/>
      <c r="AJ26" s="72"/>
      <c r="AK26" s="118"/>
      <c r="AL26" s="72"/>
      <c r="AM26" s="72"/>
      <c r="AN26" s="118"/>
      <c r="AO26" s="70"/>
      <c r="AP26" s="81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</row>
    <row r="27" spans="1:55" ht="13.9" customHeight="1" x14ac:dyDescent="0.35">
      <c r="A27" s="137"/>
      <c r="B27" s="133"/>
      <c r="C27" s="80" t="s">
        <v>534</v>
      </c>
      <c r="D27" s="80" t="s">
        <v>142</v>
      </c>
      <c r="E27" s="80"/>
      <c r="F27" s="80"/>
      <c r="G27" s="133"/>
      <c r="H27" s="80">
        <v>8.202</v>
      </c>
      <c r="I27" s="80"/>
      <c r="J27" s="133"/>
      <c r="K27" s="72">
        <v>8.4860000000000007</v>
      </c>
      <c r="L27" s="72"/>
      <c r="M27" s="118"/>
      <c r="N27" s="72">
        <v>7.92</v>
      </c>
      <c r="O27" s="72"/>
      <c r="P27" s="118"/>
      <c r="Q27" s="72"/>
      <c r="R27" s="72"/>
      <c r="S27" s="118"/>
      <c r="T27" s="72"/>
      <c r="U27" s="72"/>
      <c r="V27" s="118"/>
      <c r="W27" s="72"/>
      <c r="X27" s="72"/>
      <c r="Y27" s="118"/>
      <c r="Z27" s="72"/>
      <c r="AA27" s="72"/>
      <c r="AB27" s="118"/>
      <c r="AC27" s="72"/>
      <c r="AD27" s="72"/>
      <c r="AE27" s="118"/>
      <c r="AF27" s="72"/>
      <c r="AG27" s="72"/>
      <c r="AH27" s="118"/>
      <c r="AI27" s="72"/>
      <c r="AJ27" s="72"/>
      <c r="AK27" s="118"/>
      <c r="AL27" s="72"/>
      <c r="AM27" s="72"/>
      <c r="AN27" s="118"/>
      <c r="AO27" s="70"/>
      <c r="AP27" s="81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</row>
    <row r="28" spans="1:55" ht="13.9" customHeight="1" x14ac:dyDescent="0.35">
      <c r="A28" s="137"/>
      <c r="B28" s="133"/>
      <c r="C28" s="80" t="s">
        <v>605</v>
      </c>
      <c r="D28" s="80"/>
      <c r="E28" s="80"/>
      <c r="F28" s="80"/>
      <c r="G28" s="133"/>
      <c r="H28" s="80">
        <v>4</v>
      </c>
      <c r="I28" s="80"/>
      <c r="J28" s="133"/>
      <c r="K28" s="72">
        <v>3</v>
      </c>
      <c r="L28" s="72"/>
      <c r="M28" s="118"/>
      <c r="N28" s="72">
        <v>3</v>
      </c>
      <c r="O28" s="72"/>
      <c r="P28" s="118"/>
      <c r="Q28" s="72"/>
      <c r="R28" s="72"/>
      <c r="S28" s="118"/>
      <c r="T28" s="72"/>
      <c r="U28" s="72"/>
      <c r="V28" s="118"/>
      <c r="W28" s="72"/>
      <c r="X28" s="72"/>
      <c r="Y28" s="118"/>
      <c r="Z28" s="72"/>
      <c r="AA28" s="72"/>
      <c r="AB28" s="118"/>
      <c r="AC28" s="72"/>
      <c r="AD28" s="72"/>
      <c r="AE28" s="118"/>
      <c r="AF28" s="72"/>
      <c r="AG28" s="72"/>
      <c r="AH28" s="118"/>
      <c r="AI28" s="72"/>
      <c r="AJ28" s="72"/>
      <c r="AK28" s="118"/>
      <c r="AL28" s="72"/>
      <c r="AM28" s="72"/>
      <c r="AN28" s="118"/>
      <c r="AO28" s="70"/>
      <c r="AP28" s="81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</row>
    <row r="29" spans="1:55" s="14" customFormat="1" ht="14.25" customHeight="1" x14ac:dyDescent="0.25">
      <c r="A29" s="137"/>
      <c r="B29" s="131"/>
      <c r="C29" s="80" t="s">
        <v>609</v>
      </c>
      <c r="D29" s="80" t="s">
        <v>544</v>
      </c>
      <c r="E29" s="80"/>
      <c r="F29" s="80"/>
      <c r="G29" s="131"/>
      <c r="H29" s="80"/>
      <c r="I29" s="80"/>
      <c r="J29" s="131"/>
      <c r="K29" s="73"/>
      <c r="L29" s="73"/>
      <c r="M29" s="125"/>
      <c r="N29" s="73"/>
      <c r="O29" s="73"/>
      <c r="P29" s="125"/>
      <c r="Q29" s="73"/>
      <c r="R29" s="73"/>
      <c r="S29" s="125"/>
      <c r="T29" s="72"/>
      <c r="U29" s="72"/>
      <c r="V29" s="125"/>
      <c r="W29" s="72"/>
      <c r="X29" s="72"/>
      <c r="Y29" s="125"/>
      <c r="Z29" s="72"/>
      <c r="AA29" s="72"/>
      <c r="AB29" s="125"/>
      <c r="AC29" s="73"/>
      <c r="AD29" s="73"/>
      <c r="AE29" s="125"/>
      <c r="AF29" s="73"/>
      <c r="AG29" s="73"/>
      <c r="AH29" s="125"/>
      <c r="AI29" s="73"/>
      <c r="AJ29" s="73"/>
      <c r="AK29" s="125"/>
      <c r="AL29" s="72"/>
      <c r="AM29" s="72"/>
      <c r="AN29" s="125"/>
      <c r="AO29" s="84" t="s">
        <v>358</v>
      </c>
      <c r="AP29" s="85" t="s">
        <v>359</v>
      </c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</row>
    <row r="30" spans="1:55" s="14" customFormat="1" ht="14.25" customHeight="1" x14ac:dyDescent="0.25">
      <c r="A30" s="137"/>
      <c r="B30" s="130" t="s">
        <v>330</v>
      </c>
      <c r="C30" s="80" t="s">
        <v>350</v>
      </c>
      <c r="D30" s="80"/>
      <c r="E30" s="80"/>
      <c r="F30" s="80"/>
      <c r="G30" s="82"/>
      <c r="H30" s="80" t="s">
        <v>591</v>
      </c>
      <c r="I30" s="80"/>
      <c r="J30" s="82"/>
      <c r="K30" s="73" t="s">
        <v>576</v>
      </c>
      <c r="L30" s="73"/>
      <c r="M30" s="83"/>
      <c r="N30" s="73" t="s">
        <v>577</v>
      </c>
      <c r="O30" s="73"/>
      <c r="P30" s="83"/>
      <c r="Q30" s="73"/>
      <c r="R30" s="73"/>
      <c r="S30" s="83"/>
      <c r="T30" s="72"/>
      <c r="U30" s="72"/>
      <c r="V30" s="83"/>
      <c r="W30" s="72"/>
      <c r="X30" s="72"/>
      <c r="Y30" s="83"/>
      <c r="Z30" s="72"/>
      <c r="AA30" s="72"/>
      <c r="AB30" s="83"/>
      <c r="AC30" s="73"/>
      <c r="AD30" s="73"/>
      <c r="AE30" s="83"/>
      <c r="AF30" s="73"/>
      <c r="AG30" s="73"/>
      <c r="AH30" s="83"/>
      <c r="AI30" s="73"/>
      <c r="AJ30" s="73"/>
      <c r="AK30" s="83"/>
      <c r="AL30" s="72"/>
      <c r="AM30" s="72"/>
      <c r="AN30" s="83"/>
      <c r="AO30" s="84"/>
      <c r="AP30" s="85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</row>
    <row r="31" spans="1:55" ht="14.25" customHeight="1" x14ac:dyDescent="0.35">
      <c r="A31" s="137"/>
      <c r="B31" s="133"/>
      <c r="C31" s="80" t="s">
        <v>536</v>
      </c>
      <c r="D31" s="80" t="s">
        <v>3</v>
      </c>
      <c r="E31" s="80"/>
      <c r="F31" s="80"/>
      <c r="G31" s="130"/>
      <c r="H31" s="80">
        <v>201</v>
      </c>
      <c r="I31" s="80"/>
      <c r="J31" s="130"/>
      <c r="K31" s="73">
        <v>224</v>
      </c>
      <c r="L31" s="73"/>
      <c r="M31" s="123"/>
      <c r="N31" s="108">
        <v>257</v>
      </c>
      <c r="O31" s="72"/>
      <c r="P31" s="122"/>
      <c r="Q31" s="103"/>
      <c r="R31" s="72"/>
      <c r="S31" s="122"/>
      <c r="T31" s="72"/>
      <c r="U31" s="72"/>
      <c r="V31" s="122"/>
      <c r="W31" s="72"/>
      <c r="X31" s="72"/>
      <c r="Y31" s="122"/>
      <c r="Z31" s="72"/>
      <c r="AA31" s="72"/>
      <c r="AB31" s="122"/>
      <c r="AC31" s="72"/>
      <c r="AD31" s="72"/>
      <c r="AE31" s="122"/>
      <c r="AF31" s="72"/>
      <c r="AG31" s="72"/>
      <c r="AH31" s="122"/>
      <c r="AI31" s="72"/>
      <c r="AJ31" s="72"/>
      <c r="AK31" s="122"/>
      <c r="AL31" s="72"/>
      <c r="AM31" s="72"/>
      <c r="AN31" s="122"/>
      <c r="AO31" s="70" t="s">
        <v>361</v>
      </c>
      <c r="AP31" s="81" t="s">
        <v>362</v>
      </c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</row>
    <row r="32" spans="1:55" ht="14.25" customHeight="1" x14ac:dyDescent="0.35">
      <c r="A32" s="137"/>
      <c r="B32" s="133"/>
      <c r="C32" s="80" t="s">
        <v>535</v>
      </c>
      <c r="D32" s="80" t="s">
        <v>542</v>
      </c>
      <c r="E32" s="80"/>
      <c r="F32" s="80"/>
      <c r="G32" s="133"/>
      <c r="H32" s="80">
        <v>990</v>
      </c>
      <c r="I32" s="80"/>
      <c r="J32" s="133"/>
      <c r="K32" s="73">
        <v>1288</v>
      </c>
      <c r="L32" s="73"/>
      <c r="M32" s="121"/>
      <c r="N32" s="108">
        <v>424</v>
      </c>
      <c r="O32" s="72"/>
      <c r="P32" s="118"/>
      <c r="Q32" s="103"/>
      <c r="R32" s="72"/>
      <c r="S32" s="118"/>
      <c r="T32" s="72"/>
      <c r="U32" s="72"/>
      <c r="V32" s="118"/>
      <c r="W32" s="72"/>
      <c r="X32" s="72"/>
      <c r="Y32" s="118"/>
      <c r="Z32" s="72"/>
      <c r="AA32" s="72"/>
      <c r="AB32" s="118"/>
      <c r="AC32" s="72"/>
      <c r="AD32" s="72"/>
      <c r="AE32" s="118"/>
      <c r="AF32" s="72"/>
      <c r="AG32" s="72"/>
      <c r="AH32" s="118"/>
      <c r="AI32" s="72"/>
      <c r="AJ32" s="72"/>
      <c r="AK32" s="118"/>
      <c r="AL32" s="72"/>
      <c r="AM32" s="72"/>
      <c r="AN32" s="118"/>
      <c r="AO32" s="70"/>
      <c r="AP32" s="81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</row>
    <row r="33" spans="1:55" ht="14.25" customHeight="1" x14ac:dyDescent="0.35">
      <c r="A33" s="137"/>
      <c r="B33" s="133"/>
      <c r="C33" s="80" t="s">
        <v>589</v>
      </c>
      <c r="D33" s="80" t="s">
        <v>590</v>
      </c>
      <c r="E33" s="80"/>
      <c r="F33" s="80"/>
      <c r="G33" s="133"/>
      <c r="H33" s="80">
        <v>300</v>
      </c>
      <c r="I33" s="80"/>
      <c r="J33" s="133"/>
      <c r="K33" s="73">
        <v>312</v>
      </c>
      <c r="L33" s="73"/>
      <c r="M33" s="121"/>
      <c r="N33" s="108">
        <v>341</v>
      </c>
      <c r="O33" s="72"/>
      <c r="P33" s="118"/>
      <c r="Q33" s="103"/>
      <c r="R33" s="72"/>
      <c r="S33" s="118"/>
      <c r="T33" s="72"/>
      <c r="U33" s="72"/>
      <c r="V33" s="118"/>
      <c r="W33" s="72"/>
      <c r="X33" s="72"/>
      <c r="Y33" s="118"/>
      <c r="Z33" s="72"/>
      <c r="AA33" s="72"/>
      <c r="AB33" s="118"/>
      <c r="AC33" s="72"/>
      <c r="AD33" s="72"/>
      <c r="AE33" s="118"/>
      <c r="AF33" s="72"/>
      <c r="AG33" s="72"/>
      <c r="AH33" s="118"/>
      <c r="AI33" s="72"/>
      <c r="AJ33" s="72"/>
      <c r="AK33" s="118"/>
      <c r="AL33" s="72"/>
      <c r="AM33" s="72"/>
      <c r="AN33" s="118"/>
      <c r="AO33" s="70"/>
      <c r="AP33" s="81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</row>
    <row r="34" spans="1:55" ht="14.25" customHeight="1" x14ac:dyDescent="0.35">
      <c r="A34" s="137"/>
      <c r="B34" s="133"/>
      <c r="C34" s="80" t="s">
        <v>588</v>
      </c>
      <c r="D34" s="80"/>
      <c r="E34" s="80"/>
      <c r="F34" s="80"/>
      <c r="G34" s="133"/>
      <c r="H34" s="80" t="s">
        <v>597</v>
      </c>
      <c r="I34" s="80"/>
      <c r="J34" s="133"/>
      <c r="K34" s="73" t="s">
        <v>597</v>
      </c>
      <c r="L34" s="73"/>
      <c r="M34" s="121"/>
      <c r="N34" s="108" t="s">
        <v>620</v>
      </c>
      <c r="O34" s="72"/>
      <c r="P34" s="118"/>
      <c r="Q34" s="103"/>
      <c r="R34" s="72"/>
      <c r="S34" s="118"/>
      <c r="T34" s="72"/>
      <c r="U34" s="72"/>
      <c r="V34" s="118"/>
      <c r="W34" s="72"/>
      <c r="X34" s="72"/>
      <c r="Y34" s="118"/>
      <c r="Z34" s="72"/>
      <c r="AA34" s="72"/>
      <c r="AB34" s="118"/>
      <c r="AC34" s="72"/>
      <c r="AD34" s="72"/>
      <c r="AE34" s="118"/>
      <c r="AF34" s="72"/>
      <c r="AG34" s="72"/>
      <c r="AH34" s="118"/>
      <c r="AI34" s="72"/>
      <c r="AJ34" s="72"/>
      <c r="AK34" s="118"/>
      <c r="AL34" s="72"/>
      <c r="AM34" s="72"/>
      <c r="AN34" s="118"/>
      <c r="AO34" s="70"/>
      <c r="AP34" s="81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</row>
    <row r="35" spans="1:55" ht="14.25" customHeight="1" x14ac:dyDescent="0.35">
      <c r="A35" s="137"/>
      <c r="B35" s="133"/>
      <c r="C35" s="80" t="s">
        <v>540</v>
      </c>
      <c r="D35" s="80"/>
      <c r="E35" s="80"/>
      <c r="F35" s="80"/>
      <c r="G35" s="133"/>
      <c r="H35" s="80">
        <v>5</v>
      </c>
      <c r="I35" s="80"/>
      <c r="J35" s="133"/>
      <c r="K35" s="73">
        <v>6</v>
      </c>
      <c r="L35" s="73"/>
      <c r="M35" s="121"/>
      <c r="N35" s="108" t="s">
        <v>621</v>
      </c>
      <c r="O35" s="72"/>
      <c r="P35" s="118"/>
      <c r="Q35" s="103"/>
      <c r="R35" s="72"/>
      <c r="S35" s="118"/>
      <c r="T35" s="72"/>
      <c r="U35" s="72"/>
      <c r="V35" s="118"/>
      <c r="W35" s="72"/>
      <c r="X35" s="72"/>
      <c r="Y35" s="118"/>
      <c r="Z35" s="72"/>
      <c r="AA35" s="72"/>
      <c r="AB35" s="118"/>
      <c r="AC35" s="72"/>
      <c r="AD35" s="72"/>
      <c r="AE35" s="118"/>
      <c r="AF35" s="72"/>
      <c r="AG35" s="72"/>
      <c r="AH35" s="118"/>
      <c r="AI35" s="72"/>
      <c r="AJ35" s="72"/>
      <c r="AK35" s="118"/>
      <c r="AL35" s="72"/>
      <c r="AM35" s="72"/>
      <c r="AN35" s="118"/>
      <c r="AO35" s="70"/>
      <c r="AP35" s="81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</row>
    <row r="36" spans="1:55" ht="14.25" customHeight="1" x14ac:dyDescent="0.35">
      <c r="A36" s="137"/>
      <c r="B36" s="133"/>
      <c r="C36" s="80" t="s">
        <v>541</v>
      </c>
      <c r="D36" s="80"/>
      <c r="E36" s="80"/>
      <c r="F36" s="80"/>
      <c r="G36" s="133"/>
      <c r="H36" s="80">
        <v>2</v>
      </c>
      <c r="I36" s="80"/>
      <c r="J36" s="133"/>
      <c r="K36" s="73">
        <v>6</v>
      </c>
      <c r="L36" s="73"/>
      <c r="M36" s="121"/>
      <c r="N36" s="108" t="s">
        <v>621</v>
      </c>
      <c r="O36" s="72"/>
      <c r="P36" s="118"/>
      <c r="Q36" s="103"/>
      <c r="R36" s="72"/>
      <c r="S36" s="118"/>
      <c r="T36" s="72"/>
      <c r="U36" s="72"/>
      <c r="V36" s="118"/>
      <c r="W36" s="72"/>
      <c r="X36" s="72"/>
      <c r="Y36" s="118"/>
      <c r="Z36" s="72"/>
      <c r="AA36" s="72"/>
      <c r="AB36" s="118"/>
      <c r="AC36" s="72"/>
      <c r="AD36" s="72"/>
      <c r="AE36" s="118"/>
      <c r="AF36" s="72"/>
      <c r="AG36" s="72"/>
      <c r="AH36" s="118"/>
      <c r="AI36" s="72"/>
      <c r="AJ36" s="72"/>
      <c r="AK36" s="118"/>
      <c r="AL36" s="72"/>
      <c r="AM36" s="72"/>
      <c r="AN36" s="118"/>
      <c r="AO36" s="70"/>
      <c r="AP36" s="81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</row>
    <row r="37" spans="1:55" ht="14.25" customHeight="1" x14ac:dyDescent="0.35">
      <c r="A37" s="137"/>
      <c r="B37" s="133"/>
      <c r="C37" s="80" t="s">
        <v>543</v>
      </c>
      <c r="D37" s="80" t="s">
        <v>544</v>
      </c>
      <c r="E37" s="80"/>
      <c r="F37" s="80"/>
      <c r="G37" s="133"/>
      <c r="H37" s="80" t="s">
        <v>583</v>
      </c>
      <c r="I37" s="80"/>
      <c r="J37" s="133"/>
      <c r="K37" s="73" t="s">
        <v>583</v>
      </c>
      <c r="L37" s="73"/>
      <c r="M37" s="121"/>
      <c r="N37" s="108" t="s">
        <v>583</v>
      </c>
      <c r="O37" s="72"/>
      <c r="P37" s="118"/>
      <c r="Q37" s="103"/>
      <c r="R37" s="72"/>
      <c r="S37" s="118"/>
      <c r="T37" s="72"/>
      <c r="U37" s="72"/>
      <c r="V37" s="118"/>
      <c r="W37" s="72"/>
      <c r="X37" s="72"/>
      <c r="Y37" s="118"/>
      <c r="Z37" s="72"/>
      <c r="AA37" s="72"/>
      <c r="AB37" s="118"/>
      <c r="AC37" s="72"/>
      <c r="AD37" s="72"/>
      <c r="AE37" s="118"/>
      <c r="AF37" s="72"/>
      <c r="AG37" s="72"/>
      <c r="AH37" s="118"/>
      <c r="AI37" s="72"/>
      <c r="AJ37" s="72"/>
      <c r="AK37" s="118"/>
      <c r="AL37" s="72"/>
      <c r="AM37" s="72"/>
      <c r="AN37" s="118"/>
      <c r="AO37" s="70"/>
      <c r="AP37" s="81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</row>
    <row r="38" spans="1:55" ht="14.25" customHeight="1" x14ac:dyDescent="0.35">
      <c r="A38" s="137"/>
      <c r="B38" s="133"/>
      <c r="C38" s="80" t="s">
        <v>593</v>
      </c>
      <c r="D38" s="80"/>
      <c r="E38" s="80"/>
      <c r="F38" s="80"/>
      <c r="G38" s="133"/>
      <c r="H38" s="80">
        <v>3</v>
      </c>
      <c r="I38" s="80"/>
      <c r="J38" s="133"/>
      <c r="K38" s="73">
        <v>3</v>
      </c>
      <c r="L38" s="73"/>
      <c r="M38" s="121"/>
      <c r="N38" s="108">
        <v>3</v>
      </c>
      <c r="O38" s="72"/>
      <c r="P38" s="118"/>
      <c r="Q38" s="103"/>
      <c r="R38" s="72"/>
      <c r="S38" s="118"/>
      <c r="T38" s="72"/>
      <c r="U38" s="72"/>
      <c r="V38" s="118"/>
      <c r="W38" s="72"/>
      <c r="X38" s="72"/>
      <c r="Y38" s="118"/>
      <c r="Z38" s="72"/>
      <c r="AA38" s="72"/>
      <c r="AB38" s="118"/>
      <c r="AC38" s="72"/>
      <c r="AD38" s="72"/>
      <c r="AE38" s="118"/>
      <c r="AF38" s="72"/>
      <c r="AG38" s="72"/>
      <c r="AH38" s="118"/>
      <c r="AI38" s="72"/>
      <c r="AJ38" s="72"/>
      <c r="AK38" s="118"/>
      <c r="AL38" s="72"/>
      <c r="AM38" s="72"/>
      <c r="AN38" s="118"/>
      <c r="AO38" s="70"/>
      <c r="AP38" s="81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</row>
    <row r="39" spans="1:55" ht="14.25" customHeight="1" x14ac:dyDescent="0.35">
      <c r="A39" s="137"/>
      <c r="B39" s="133"/>
      <c r="C39" s="80" t="s">
        <v>594</v>
      </c>
      <c r="D39" s="80"/>
      <c r="E39" s="80"/>
      <c r="F39" s="80"/>
      <c r="G39" s="133"/>
      <c r="H39" s="80">
        <v>2</v>
      </c>
      <c r="I39" s="80"/>
      <c r="J39" s="133"/>
      <c r="K39" s="73">
        <v>2</v>
      </c>
      <c r="L39" s="73"/>
      <c r="M39" s="121"/>
      <c r="N39" s="108">
        <v>3</v>
      </c>
      <c r="O39" s="72"/>
      <c r="P39" s="118"/>
      <c r="Q39" s="103"/>
      <c r="R39" s="72"/>
      <c r="S39" s="118"/>
      <c r="T39" s="72"/>
      <c r="U39" s="72"/>
      <c r="V39" s="118"/>
      <c r="W39" s="72"/>
      <c r="X39" s="72"/>
      <c r="Y39" s="118"/>
      <c r="Z39" s="72"/>
      <c r="AA39" s="72"/>
      <c r="AB39" s="118"/>
      <c r="AC39" s="72"/>
      <c r="AD39" s="72"/>
      <c r="AE39" s="118"/>
      <c r="AF39" s="72"/>
      <c r="AG39" s="72"/>
      <c r="AH39" s="118"/>
      <c r="AI39" s="72"/>
      <c r="AJ39" s="72"/>
      <c r="AK39" s="118"/>
      <c r="AL39" s="72"/>
      <c r="AM39" s="72"/>
      <c r="AN39" s="118"/>
      <c r="AO39" s="70"/>
      <c r="AP39" s="81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</row>
    <row r="40" spans="1:55" ht="14.25" customHeight="1" x14ac:dyDescent="0.35">
      <c r="A40" s="137"/>
      <c r="B40" s="133"/>
      <c r="C40" s="80" t="s">
        <v>595</v>
      </c>
      <c r="D40" s="80"/>
      <c r="E40" s="80"/>
      <c r="F40" s="80"/>
      <c r="G40" s="133"/>
      <c r="H40" s="80">
        <v>3</v>
      </c>
      <c r="I40" s="80"/>
      <c r="J40" s="133"/>
      <c r="K40" s="73">
        <v>3</v>
      </c>
      <c r="L40" s="73"/>
      <c r="M40" s="121"/>
      <c r="N40" s="108">
        <v>3</v>
      </c>
      <c r="O40" s="72"/>
      <c r="P40" s="118"/>
      <c r="Q40" s="103"/>
      <c r="R40" s="72"/>
      <c r="S40" s="118"/>
      <c r="T40" s="72"/>
      <c r="U40" s="72"/>
      <c r="V40" s="118"/>
      <c r="W40" s="72"/>
      <c r="X40" s="72"/>
      <c r="Y40" s="118"/>
      <c r="Z40" s="72"/>
      <c r="AA40" s="72"/>
      <c r="AB40" s="118"/>
      <c r="AC40" s="72"/>
      <c r="AD40" s="72"/>
      <c r="AE40" s="118"/>
      <c r="AF40" s="72"/>
      <c r="AG40" s="72"/>
      <c r="AH40" s="118"/>
      <c r="AI40" s="72"/>
      <c r="AJ40" s="72"/>
      <c r="AK40" s="118"/>
      <c r="AL40" s="72"/>
      <c r="AM40" s="72"/>
      <c r="AN40" s="118"/>
      <c r="AO40" s="70"/>
      <c r="AP40" s="81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</row>
    <row r="41" spans="1:55" x14ac:dyDescent="0.35">
      <c r="A41" s="137"/>
      <c r="B41" s="131"/>
      <c r="C41" s="80" t="s">
        <v>545</v>
      </c>
      <c r="D41" s="80" t="s">
        <v>544</v>
      </c>
      <c r="E41" s="72"/>
      <c r="F41" s="72"/>
      <c r="G41" s="131"/>
      <c r="H41" s="72" t="s">
        <v>596</v>
      </c>
      <c r="I41" s="72"/>
      <c r="J41" s="131"/>
      <c r="K41" s="72" t="s">
        <v>583</v>
      </c>
      <c r="L41" s="72"/>
      <c r="M41" s="132"/>
      <c r="N41" s="108" t="s">
        <v>583</v>
      </c>
      <c r="O41" s="72"/>
      <c r="P41" s="125"/>
      <c r="Q41" s="103"/>
      <c r="R41" s="72"/>
      <c r="S41" s="125"/>
      <c r="T41" s="72"/>
      <c r="U41" s="72"/>
      <c r="V41" s="125"/>
      <c r="W41" s="72"/>
      <c r="X41" s="72"/>
      <c r="Y41" s="125"/>
      <c r="Z41" s="72"/>
      <c r="AA41" s="72"/>
      <c r="AB41" s="125"/>
      <c r="AC41" s="72"/>
      <c r="AD41" s="72"/>
      <c r="AE41" s="125"/>
      <c r="AF41" s="72"/>
      <c r="AG41" s="72"/>
      <c r="AH41" s="125"/>
      <c r="AI41" s="72"/>
      <c r="AJ41" s="72"/>
      <c r="AK41" s="125"/>
      <c r="AL41" s="72"/>
      <c r="AM41" s="72"/>
      <c r="AN41" s="125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</row>
    <row r="42" spans="1:55" ht="13.9" customHeight="1" x14ac:dyDescent="0.35">
      <c r="A42" s="137"/>
      <c r="B42" s="126" t="s">
        <v>610</v>
      </c>
      <c r="C42" s="80" t="s">
        <v>538</v>
      </c>
      <c r="D42" s="80" t="s">
        <v>19</v>
      </c>
      <c r="E42" s="80"/>
      <c r="F42" s="80"/>
      <c r="G42" s="80"/>
      <c r="H42" s="80">
        <v>70.7</v>
      </c>
      <c r="I42" s="80"/>
      <c r="J42" s="80"/>
      <c r="K42" s="72">
        <v>76.3</v>
      </c>
      <c r="L42" s="72"/>
      <c r="M42" s="72"/>
      <c r="N42" s="109">
        <v>87.4</v>
      </c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</row>
    <row r="43" spans="1:55" ht="13.9" customHeight="1" x14ac:dyDescent="0.35">
      <c r="A43" s="137"/>
      <c r="B43" s="126"/>
      <c r="C43" s="80" t="s">
        <v>539</v>
      </c>
      <c r="D43" s="80" t="s">
        <v>19</v>
      </c>
      <c r="E43" s="80"/>
      <c r="F43" s="80"/>
      <c r="G43" s="80"/>
      <c r="H43" s="80">
        <v>70.7</v>
      </c>
      <c r="I43" s="80"/>
      <c r="J43" s="80"/>
      <c r="K43" s="72">
        <v>76.3</v>
      </c>
      <c r="L43" s="72"/>
      <c r="M43" s="72"/>
      <c r="N43" s="109">
        <v>87.4</v>
      </c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</row>
    <row r="44" spans="1:55" ht="13.9" customHeight="1" x14ac:dyDescent="0.35">
      <c r="A44" s="137"/>
      <c r="B44" s="126"/>
      <c r="C44" s="80" t="s">
        <v>569</v>
      </c>
      <c r="D44" s="80" t="s">
        <v>627</v>
      </c>
      <c r="E44" s="80"/>
      <c r="F44" s="80"/>
      <c r="G44" s="80"/>
      <c r="H44" s="80">
        <v>154</v>
      </c>
      <c r="I44" s="80"/>
      <c r="J44" s="80"/>
      <c r="K44" s="72">
        <v>148</v>
      </c>
      <c r="L44" s="72"/>
      <c r="M44" s="72"/>
      <c r="N44" s="109">
        <v>67.099999999999994</v>
      </c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</row>
    <row r="45" spans="1:55" ht="15.75" customHeight="1" thickBot="1" x14ac:dyDescent="0.4">
      <c r="A45" s="137"/>
      <c r="B45" s="126"/>
      <c r="C45" s="80" t="s">
        <v>570</v>
      </c>
      <c r="D45" s="80" t="s">
        <v>627</v>
      </c>
      <c r="E45" s="80"/>
      <c r="F45" s="80"/>
      <c r="G45" s="80"/>
      <c r="H45" s="80">
        <v>154</v>
      </c>
      <c r="I45" s="80"/>
      <c r="J45" s="80"/>
      <c r="K45" s="72">
        <v>148</v>
      </c>
      <c r="L45" s="72"/>
      <c r="M45" s="72"/>
      <c r="N45" s="109">
        <v>67.099999999999994</v>
      </c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</row>
    <row r="46" spans="1:55" ht="28.5" customHeight="1" x14ac:dyDescent="0.35">
      <c r="A46" s="137"/>
      <c r="B46" s="126" t="s">
        <v>546</v>
      </c>
      <c r="C46" s="80" t="s">
        <v>547</v>
      </c>
      <c r="D46" s="80" t="s">
        <v>0</v>
      </c>
      <c r="E46" s="72"/>
      <c r="F46" s="72"/>
      <c r="G46" s="122"/>
      <c r="H46" s="72">
        <v>109679</v>
      </c>
      <c r="I46" s="72"/>
      <c r="J46" s="122"/>
      <c r="K46" s="72">
        <v>104000</v>
      </c>
      <c r="L46" s="72"/>
      <c r="M46" s="122"/>
      <c r="N46" s="109">
        <v>127000</v>
      </c>
      <c r="O46" s="72"/>
      <c r="P46" s="122"/>
      <c r="Q46" s="72"/>
      <c r="R46" s="72"/>
      <c r="S46" s="122"/>
      <c r="T46" s="72"/>
      <c r="U46" s="72"/>
      <c r="V46" s="122"/>
      <c r="W46" s="72"/>
      <c r="X46" s="72"/>
      <c r="Y46" s="122"/>
      <c r="Z46" s="72"/>
      <c r="AA46" s="72"/>
      <c r="AB46" s="122"/>
      <c r="AC46" s="73"/>
      <c r="AD46" s="73"/>
      <c r="AE46" s="123"/>
      <c r="AF46" s="73"/>
      <c r="AG46" s="73"/>
      <c r="AH46" s="123"/>
      <c r="AI46" s="73"/>
      <c r="AJ46" s="73"/>
      <c r="AK46" s="123"/>
      <c r="AL46" s="72"/>
      <c r="AM46" s="72"/>
      <c r="AN46" s="122"/>
      <c r="AO46" s="70"/>
      <c r="AP46" s="86"/>
      <c r="AQ46" s="87" t="s">
        <v>4</v>
      </c>
      <c r="AR46" s="87" t="s">
        <v>5</v>
      </c>
      <c r="AS46" s="87" t="s">
        <v>6</v>
      </c>
      <c r="AT46" s="87" t="s">
        <v>7</v>
      </c>
      <c r="AU46" s="87" t="s">
        <v>8</v>
      </c>
      <c r="AV46" s="87" t="s">
        <v>9</v>
      </c>
      <c r="AW46" s="87" t="s">
        <v>10</v>
      </c>
      <c r="AX46" s="87" t="s">
        <v>11</v>
      </c>
      <c r="AY46" s="87" t="s">
        <v>12</v>
      </c>
      <c r="AZ46" s="87" t="s">
        <v>13</v>
      </c>
      <c r="BA46" s="88" t="s">
        <v>14</v>
      </c>
      <c r="BB46" s="70"/>
      <c r="BC46" s="70"/>
    </row>
    <row r="47" spans="1:55" ht="13.9" customHeight="1" x14ac:dyDescent="0.35">
      <c r="A47" s="137"/>
      <c r="B47" s="126"/>
      <c r="C47" s="80" t="s">
        <v>548</v>
      </c>
      <c r="D47" s="80" t="s">
        <v>0</v>
      </c>
      <c r="E47" s="80"/>
      <c r="F47" s="80"/>
      <c r="G47" s="118"/>
      <c r="H47" s="80">
        <v>42590</v>
      </c>
      <c r="I47" s="80"/>
      <c r="J47" s="118"/>
      <c r="K47" s="72">
        <v>48800</v>
      </c>
      <c r="L47" s="72"/>
      <c r="M47" s="118"/>
      <c r="N47" s="109">
        <v>41300</v>
      </c>
      <c r="O47" s="72"/>
      <c r="P47" s="118"/>
      <c r="Q47" s="72"/>
      <c r="R47" s="72"/>
      <c r="S47" s="118"/>
      <c r="T47" s="72"/>
      <c r="U47" s="72"/>
      <c r="V47" s="118"/>
      <c r="W47" s="72"/>
      <c r="X47" s="72"/>
      <c r="Y47" s="118"/>
      <c r="Z47" s="72"/>
      <c r="AA47" s="72"/>
      <c r="AB47" s="118"/>
      <c r="AC47" s="72"/>
      <c r="AD47" s="72"/>
      <c r="AE47" s="121"/>
      <c r="AF47" s="72"/>
      <c r="AG47" s="72"/>
      <c r="AH47" s="121"/>
      <c r="AI47" s="72"/>
      <c r="AJ47" s="72"/>
      <c r="AK47" s="121"/>
      <c r="AL47" s="72"/>
      <c r="AM47" s="72"/>
      <c r="AN47" s="118"/>
      <c r="AO47" s="70"/>
      <c r="AP47" s="89" t="s">
        <v>320</v>
      </c>
      <c r="AQ47" s="90">
        <v>2</v>
      </c>
      <c r="AR47" s="90">
        <v>3</v>
      </c>
      <c r="AS47" s="90">
        <v>2.5</v>
      </c>
      <c r="AT47" s="90">
        <v>3</v>
      </c>
      <c r="AU47" s="90">
        <v>2</v>
      </c>
      <c r="AV47" s="90">
        <v>3.5</v>
      </c>
      <c r="AW47" s="90">
        <v>3</v>
      </c>
      <c r="AX47" s="90">
        <v>3.5</v>
      </c>
      <c r="AY47" s="90">
        <v>2.5</v>
      </c>
      <c r="AZ47" s="90">
        <v>2.5</v>
      </c>
      <c r="BA47" s="91">
        <v>2.5</v>
      </c>
      <c r="BB47" s="70"/>
      <c r="BC47" s="70"/>
    </row>
    <row r="48" spans="1:55" ht="13.9" customHeight="1" x14ac:dyDescent="0.35">
      <c r="A48" s="137"/>
      <c r="B48" s="126"/>
      <c r="C48" s="80" t="s">
        <v>549</v>
      </c>
      <c r="D48" s="80" t="s">
        <v>0</v>
      </c>
      <c r="E48" s="80"/>
      <c r="F48" s="80"/>
      <c r="G48" s="118"/>
      <c r="H48" s="80">
        <v>13790</v>
      </c>
      <c r="I48" s="80"/>
      <c r="J48" s="118"/>
      <c r="K48" s="72">
        <v>13237</v>
      </c>
      <c r="L48" s="72"/>
      <c r="M48" s="118"/>
      <c r="N48" s="109">
        <v>11250</v>
      </c>
      <c r="O48" s="72"/>
      <c r="P48" s="118"/>
      <c r="Q48" s="72"/>
      <c r="R48" s="72"/>
      <c r="S48" s="118"/>
      <c r="T48" s="72"/>
      <c r="U48" s="72"/>
      <c r="V48" s="118"/>
      <c r="W48" s="72"/>
      <c r="X48" s="72"/>
      <c r="Y48" s="118"/>
      <c r="Z48" s="72"/>
      <c r="AA48" s="72"/>
      <c r="AB48" s="118"/>
      <c r="AC48" s="72"/>
      <c r="AD48" s="72"/>
      <c r="AE48" s="121"/>
      <c r="AF48" s="72"/>
      <c r="AG48" s="72"/>
      <c r="AH48" s="121"/>
      <c r="AI48" s="72"/>
      <c r="AJ48" s="72"/>
      <c r="AK48" s="121"/>
      <c r="AL48" s="72"/>
      <c r="AM48" s="72"/>
      <c r="AN48" s="118"/>
      <c r="AO48" s="70"/>
      <c r="AP48" s="89" t="s">
        <v>324</v>
      </c>
      <c r="AQ48" s="90">
        <v>3</v>
      </c>
      <c r="AR48" s="90">
        <v>3</v>
      </c>
      <c r="AS48" s="90">
        <v>3</v>
      </c>
      <c r="AT48" s="90">
        <v>3</v>
      </c>
      <c r="AU48" s="90">
        <v>3</v>
      </c>
      <c r="AV48" s="90">
        <v>3</v>
      </c>
      <c r="AW48" s="90">
        <v>3</v>
      </c>
      <c r="AX48" s="90">
        <v>3</v>
      </c>
      <c r="AY48" s="90">
        <v>3</v>
      </c>
      <c r="AZ48" s="90">
        <v>3</v>
      </c>
      <c r="BA48" s="91">
        <v>3</v>
      </c>
      <c r="BB48" s="70"/>
      <c r="BC48" s="70"/>
    </row>
    <row r="49" spans="1:55" ht="13.9" customHeight="1" x14ac:dyDescent="0.35">
      <c r="A49" s="137"/>
      <c r="B49" s="126"/>
      <c r="C49" s="80" t="s">
        <v>550</v>
      </c>
      <c r="D49" s="80" t="s">
        <v>0</v>
      </c>
      <c r="E49" s="80"/>
      <c r="F49" s="80"/>
      <c r="G49" s="118"/>
      <c r="H49" s="80">
        <v>2790</v>
      </c>
      <c r="I49" s="80"/>
      <c r="J49" s="118"/>
      <c r="K49" s="72">
        <v>3200</v>
      </c>
      <c r="L49" s="72"/>
      <c r="M49" s="118"/>
      <c r="N49" s="109">
        <v>2650</v>
      </c>
      <c r="O49" s="72"/>
      <c r="P49" s="118"/>
      <c r="Q49" s="72"/>
      <c r="R49" s="72"/>
      <c r="S49" s="118"/>
      <c r="T49" s="72"/>
      <c r="U49" s="72"/>
      <c r="V49" s="118"/>
      <c r="W49" s="72"/>
      <c r="X49" s="72"/>
      <c r="Y49" s="118"/>
      <c r="Z49" s="72"/>
      <c r="AA49" s="72"/>
      <c r="AB49" s="118"/>
      <c r="AC49" s="72"/>
      <c r="AD49" s="72"/>
      <c r="AE49" s="121"/>
      <c r="AF49" s="72"/>
      <c r="AG49" s="72"/>
      <c r="AH49" s="121"/>
      <c r="AI49" s="72"/>
      <c r="AJ49" s="72"/>
      <c r="AK49" s="121"/>
      <c r="AL49" s="72"/>
      <c r="AM49" s="72"/>
      <c r="AN49" s="118"/>
      <c r="AO49" s="70"/>
      <c r="AP49" s="89" t="s">
        <v>374</v>
      </c>
      <c r="AQ49" s="90">
        <v>3.3</v>
      </c>
      <c r="AR49" s="90">
        <v>3</v>
      </c>
      <c r="AS49" s="90">
        <v>2.2999999999999998</v>
      </c>
      <c r="AT49" s="90">
        <v>3.3</v>
      </c>
      <c r="AU49" s="90">
        <v>5</v>
      </c>
      <c r="AV49" s="90">
        <v>2.2999999999999998</v>
      </c>
      <c r="AW49" s="90">
        <v>2.2999999999999998</v>
      </c>
      <c r="AX49" s="90">
        <v>2.2000000000000002</v>
      </c>
      <c r="AY49" s="90">
        <v>3</v>
      </c>
      <c r="AZ49" s="90">
        <v>3</v>
      </c>
      <c r="BA49" s="91">
        <v>3.8</v>
      </c>
      <c r="BB49" s="70"/>
      <c r="BC49" s="70"/>
    </row>
    <row r="50" spans="1:55" ht="13.9" customHeight="1" x14ac:dyDescent="0.35">
      <c r="A50" s="137"/>
      <c r="B50" s="126"/>
      <c r="C50" s="80" t="s">
        <v>567</v>
      </c>
      <c r="D50" s="80" t="s">
        <v>142</v>
      </c>
      <c r="E50" s="80"/>
      <c r="F50" s="80"/>
      <c r="G50" s="118"/>
      <c r="H50" s="80">
        <v>56.4</v>
      </c>
      <c r="I50" s="80"/>
      <c r="J50" s="118"/>
      <c r="K50" s="72">
        <v>58</v>
      </c>
      <c r="L50" s="72"/>
      <c r="M50" s="118"/>
      <c r="N50" s="72">
        <v>56</v>
      </c>
      <c r="O50" s="72"/>
      <c r="P50" s="118"/>
      <c r="Q50" s="72"/>
      <c r="R50" s="72"/>
      <c r="S50" s="118"/>
      <c r="T50" s="72"/>
      <c r="U50" s="72"/>
      <c r="V50" s="118"/>
      <c r="W50" s="72"/>
      <c r="X50" s="72"/>
      <c r="Y50" s="118"/>
      <c r="Z50" s="72"/>
      <c r="AA50" s="72"/>
      <c r="AB50" s="118"/>
      <c r="AC50" s="72"/>
      <c r="AD50" s="72"/>
      <c r="AE50" s="121"/>
      <c r="AF50" s="72"/>
      <c r="AG50" s="72"/>
      <c r="AH50" s="121"/>
      <c r="AI50" s="72"/>
      <c r="AJ50" s="72"/>
      <c r="AK50" s="121"/>
      <c r="AL50" s="72"/>
      <c r="AM50" s="72"/>
      <c r="AN50" s="118"/>
      <c r="AO50" s="70"/>
      <c r="AP50" s="89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1"/>
      <c r="BB50" s="70"/>
      <c r="BC50" s="70"/>
    </row>
    <row r="51" spans="1:55" ht="13.9" customHeight="1" x14ac:dyDescent="0.35">
      <c r="A51" s="137"/>
      <c r="B51" s="126"/>
      <c r="C51" s="80" t="s">
        <v>602</v>
      </c>
      <c r="D51" s="80" t="s">
        <v>0</v>
      </c>
      <c r="E51" s="80"/>
      <c r="F51" s="80"/>
      <c r="G51" s="118"/>
      <c r="H51" s="80">
        <v>1678</v>
      </c>
      <c r="I51" s="80"/>
      <c r="J51" s="118"/>
      <c r="K51" s="72">
        <v>1590</v>
      </c>
      <c r="L51" s="72"/>
      <c r="M51" s="118"/>
      <c r="N51" s="72">
        <v>850</v>
      </c>
      <c r="O51" s="72"/>
      <c r="P51" s="118"/>
      <c r="Q51" s="72"/>
      <c r="R51" s="72"/>
      <c r="S51" s="118"/>
      <c r="T51" s="72"/>
      <c r="U51" s="72"/>
      <c r="V51" s="118"/>
      <c r="W51" s="72"/>
      <c r="X51" s="72"/>
      <c r="Y51" s="118"/>
      <c r="Z51" s="72"/>
      <c r="AA51" s="72"/>
      <c r="AB51" s="118"/>
      <c r="AC51" s="72"/>
      <c r="AD51" s="72"/>
      <c r="AE51" s="121"/>
      <c r="AF51" s="72"/>
      <c r="AG51" s="72"/>
      <c r="AH51" s="121"/>
      <c r="AI51" s="72"/>
      <c r="AJ51" s="72"/>
      <c r="AK51" s="121"/>
      <c r="AL51" s="72"/>
      <c r="AM51" s="72"/>
      <c r="AN51" s="118"/>
      <c r="AO51" s="70"/>
      <c r="AP51" s="89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1"/>
      <c r="BB51" s="70"/>
      <c r="BC51" s="70"/>
    </row>
    <row r="52" spans="1:55" ht="13.9" customHeight="1" x14ac:dyDescent="0.35">
      <c r="A52" s="137"/>
      <c r="B52" s="126"/>
      <c r="C52" s="80" t="s">
        <v>560</v>
      </c>
      <c r="D52" s="80" t="s">
        <v>0</v>
      </c>
      <c r="E52" s="80"/>
      <c r="F52" s="80"/>
      <c r="G52" s="118"/>
      <c r="H52" s="80">
        <v>4808</v>
      </c>
      <c r="I52" s="80"/>
      <c r="J52" s="118"/>
      <c r="K52" s="72">
        <v>9750</v>
      </c>
      <c r="L52" s="72"/>
      <c r="M52" s="118"/>
      <c r="N52" s="72">
        <v>5050</v>
      </c>
      <c r="O52" s="72"/>
      <c r="P52" s="118"/>
      <c r="Q52" s="72"/>
      <c r="R52" s="72"/>
      <c r="S52" s="118"/>
      <c r="T52" s="72"/>
      <c r="U52" s="72"/>
      <c r="V52" s="118"/>
      <c r="W52" s="72"/>
      <c r="X52" s="72"/>
      <c r="Y52" s="118"/>
      <c r="Z52" s="72"/>
      <c r="AA52" s="72"/>
      <c r="AB52" s="118"/>
      <c r="AC52" s="72"/>
      <c r="AD52" s="72"/>
      <c r="AE52" s="121"/>
      <c r="AF52" s="72"/>
      <c r="AG52" s="72"/>
      <c r="AH52" s="121"/>
      <c r="AI52" s="72"/>
      <c r="AJ52" s="72"/>
      <c r="AK52" s="121"/>
      <c r="AL52" s="72"/>
      <c r="AM52" s="72"/>
      <c r="AN52" s="118"/>
      <c r="AO52" s="70"/>
      <c r="AP52" s="89" t="s">
        <v>330</v>
      </c>
      <c r="AQ52" s="90">
        <v>5</v>
      </c>
      <c r="AR52" s="90">
        <v>5</v>
      </c>
      <c r="AS52" s="90">
        <v>5</v>
      </c>
      <c r="AT52" s="90">
        <v>3</v>
      </c>
      <c r="AU52" s="90">
        <v>1</v>
      </c>
      <c r="AV52" s="90">
        <v>1</v>
      </c>
      <c r="AW52" s="90">
        <v>1</v>
      </c>
      <c r="AX52" s="90">
        <v>1</v>
      </c>
      <c r="AY52" s="90">
        <v>1</v>
      </c>
      <c r="AZ52" s="90">
        <v>1</v>
      </c>
      <c r="BA52" s="91">
        <v>3</v>
      </c>
      <c r="BB52" s="70"/>
      <c r="BC52" s="70"/>
    </row>
    <row r="53" spans="1:55" ht="13.9" customHeight="1" x14ac:dyDescent="0.35">
      <c r="A53" s="137"/>
      <c r="B53" s="126"/>
      <c r="C53" s="80" t="s">
        <v>561</v>
      </c>
      <c r="D53" s="80" t="s">
        <v>0</v>
      </c>
      <c r="E53" s="80"/>
      <c r="F53" s="80"/>
      <c r="G53" s="118"/>
      <c r="H53" s="80">
        <v>2994</v>
      </c>
      <c r="I53" s="80"/>
      <c r="J53" s="118"/>
      <c r="K53" s="72">
        <v>4300</v>
      </c>
      <c r="L53" s="72"/>
      <c r="M53" s="118"/>
      <c r="N53" s="72">
        <v>2050</v>
      </c>
      <c r="O53" s="72"/>
      <c r="P53" s="118"/>
      <c r="Q53" s="72"/>
      <c r="R53" s="72"/>
      <c r="S53" s="118"/>
      <c r="T53" s="72"/>
      <c r="U53" s="72"/>
      <c r="V53" s="118"/>
      <c r="W53" s="72"/>
      <c r="X53" s="72"/>
      <c r="Y53" s="118"/>
      <c r="Z53" s="72"/>
      <c r="AA53" s="72"/>
      <c r="AB53" s="118"/>
      <c r="AC53" s="72"/>
      <c r="AD53" s="72"/>
      <c r="AE53" s="121"/>
      <c r="AF53" s="72"/>
      <c r="AG53" s="72"/>
      <c r="AH53" s="121"/>
      <c r="AI53" s="72"/>
      <c r="AJ53" s="72"/>
      <c r="AK53" s="121"/>
      <c r="AL53" s="72"/>
      <c r="AM53" s="72"/>
      <c r="AN53" s="118"/>
      <c r="AO53" s="70"/>
      <c r="AP53" s="89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1"/>
      <c r="BB53" s="70"/>
      <c r="BC53" s="70"/>
    </row>
    <row r="54" spans="1:55" ht="13.9" customHeight="1" x14ac:dyDescent="0.35">
      <c r="A54" s="137"/>
      <c r="B54" s="126"/>
      <c r="C54" s="80" t="s">
        <v>562</v>
      </c>
      <c r="D54" s="80" t="s">
        <v>142</v>
      </c>
      <c r="E54" s="80"/>
      <c r="F54" s="80"/>
      <c r="G54" s="118"/>
      <c r="H54" s="80">
        <v>65.8</v>
      </c>
      <c r="I54" s="80"/>
      <c r="J54" s="118"/>
      <c r="K54" s="72">
        <v>70</v>
      </c>
      <c r="L54" s="72"/>
      <c r="M54" s="118"/>
      <c r="N54" s="108">
        <v>64</v>
      </c>
      <c r="O54" s="72"/>
      <c r="P54" s="118"/>
      <c r="Q54" s="103"/>
      <c r="R54" s="72"/>
      <c r="S54" s="118"/>
      <c r="T54" s="72"/>
      <c r="U54" s="72"/>
      <c r="V54" s="118"/>
      <c r="W54" s="72"/>
      <c r="X54" s="72"/>
      <c r="Y54" s="118"/>
      <c r="Z54" s="72"/>
      <c r="AA54" s="72"/>
      <c r="AB54" s="118"/>
      <c r="AC54" s="72"/>
      <c r="AD54" s="72"/>
      <c r="AE54" s="121"/>
      <c r="AF54" s="72"/>
      <c r="AG54" s="72"/>
      <c r="AH54" s="121"/>
      <c r="AI54" s="72"/>
      <c r="AJ54" s="72"/>
      <c r="AK54" s="121"/>
      <c r="AL54" s="72"/>
      <c r="AM54" s="72"/>
      <c r="AN54" s="118"/>
      <c r="AO54" s="70"/>
      <c r="AP54" s="89" t="s">
        <v>333</v>
      </c>
      <c r="AQ54" s="90">
        <v>3.3</v>
      </c>
      <c r="AR54" s="90">
        <v>3.6</v>
      </c>
      <c r="AS54" s="90">
        <v>3.6</v>
      </c>
      <c r="AT54" s="90">
        <v>3</v>
      </c>
      <c r="AU54" s="90">
        <v>3</v>
      </c>
      <c r="AV54" s="90">
        <v>2.2999999999999998</v>
      </c>
      <c r="AW54" s="90">
        <v>2.2999999999999998</v>
      </c>
      <c r="AX54" s="90">
        <v>1.7</v>
      </c>
      <c r="AY54" s="90">
        <v>2.7</v>
      </c>
      <c r="AZ54" s="90">
        <v>2</v>
      </c>
      <c r="BA54" s="91">
        <v>3.8</v>
      </c>
      <c r="BB54" s="70"/>
      <c r="BC54" s="70"/>
    </row>
    <row r="55" spans="1:55" ht="13.9" customHeight="1" x14ac:dyDescent="0.35">
      <c r="A55" s="137"/>
      <c r="B55" s="126"/>
      <c r="C55" s="80" t="s">
        <v>603</v>
      </c>
      <c r="D55" s="80" t="s">
        <v>0</v>
      </c>
      <c r="E55" s="80"/>
      <c r="F55" s="80"/>
      <c r="G55" s="118"/>
      <c r="H55" s="80">
        <v>9979</v>
      </c>
      <c r="I55" s="80"/>
      <c r="J55" s="118"/>
      <c r="K55" s="73"/>
      <c r="L55" s="73"/>
      <c r="M55" s="118"/>
      <c r="N55" s="109">
        <v>41700</v>
      </c>
      <c r="O55" s="72"/>
      <c r="P55" s="118"/>
      <c r="Q55" s="72"/>
      <c r="R55" s="72"/>
      <c r="S55" s="118"/>
      <c r="T55" s="72"/>
      <c r="U55" s="72"/>
      <c r="V55" s="118"/>
      <c r="W55" s="72"/>
      <c r="X55" s="72"/>
      <c r="Y55" s="118"/>
      <c r="Z55" s="72"/>
      <c r="AA55" s="72"/>
      <c r="AB55" s="118"/>
      <c r="AC55" s="72"/>
      <c r="AD55" s="72"/>
      <c r="AE55" s="121"/>
      <c r="AF55" s="72"/>
      <c r="AG55" s="72"/>
      <c r="AH55" s="121"/>
      <c r="AI55" s="72"/>
      <c r="AJ55" s="72"/>
      <c r="AK55" s="121"/>
      <c r="AL55" s="72"/>
      <c r="AM55" s="72"/>
      <c r="AN55" s="118"/>
      <c r="AO55" s="70"/>
      <c r="AP55" s="89" t="s">
        <v>336</v>
      </c>
      <c r="AQ55" s="90">
        <v>3</v>
      </c>
      <c r="AR55" s="90">
        <v>3.5</v>
      </c>
      <c r="AS55" s="90">
        <v>3.5</v>
      </c>
      <c r="AT55" s="90">
        <v>4</v>
      </c>
      <c r="AU55" s="90">
        <v>2</v>
      </c>
      <c r="AV55" s="90">
        <v>3</v>
      </c>
      <c r="AW55" s="90">
        <v>4.3</v>
      </c>
      <c r="AX55" s="90">
        <v>2</v>
      </c>
      <c r="AY55" s="90">
        <v>2.2999999999999998</v>
      </c>
      <c r="AZ55" s="90">
        <v>2</v>
      </c>
      <c r="BA55" s="91">
        <v>2</v>
      </c>
      <c r="BB55" s="70"/>
      <c r="BC55" s="70"/>
    </row>
    <row r="56" spans="1:55" ht="13.9" customHeight="1" x14ac:dyDescent="0.35">
      <c r="A56" s="137"/>
      <c r="B56" s="126"/>
      <c r="C56" s="80" t="s">
        <v>604</v>
      </c>
      <c r="D56" s="80" t="s">
        <v>0</v>
      </c>
      <c r="E56" s="72"/>
      <c r="F56" s="72"/>
      <c r="G56" s="118"/>
      <c r="H56" s="80">
        <v>3560</v>
      </c>
      <c r="I56" s="80"/>
      <c r="J56" s="118"/>
      <c r="K56" s="72"/>
      <c r="L56" s="72"/>
      <c r="M56" s="118"/>
      <c r="N56" s="108">
        <v>14350</v>
      </c>
      <c r="O56" s="72"/>
      <c r="P56" s="118"/>
      <c r="Q56" s="103"/>
      <c r="R56" s="72"/>
      <c r="S56" s="118"/>
      <c r="T56" s="72"/>
      <c r="U56" s="72"/>
      <c r="V56" s="118"/>
      <c r="W56" s="72"/>
      <c r="X56" s="72"/>
      <c r="Y56" s="118"/>
      <c r="Z56" s="72"/>
      <c r="AA56" s="72"/>
      <c r="AB56" s="118"/>
      <c r="AC56" s="72"/>
      <c r="AD56" s="72"/>
      <c r="AE56" s="121"/>
      <c r="AF56" s="72"/>
      <c r="AG56" s="72"/>
      <c r="AH56" s="121"/>
      <c r="AI56" s="72"/>
      <c r="AJ56" s="72"/>
      <c r="AK56" s="121"/>
      <c r="AL56" s="72"/>
      <c r="AM56" s="72"/>
      <c r="AN56" s="118"/>
      <c r="AO56" s="70"/>
      <c r="AP56" s="89" t="s">
        <v>339</v>
      </c>
      <c r="AQ56" s="90">
        <v>3</v>
      </c>
      <c r="AR56" s="90">
        <v>3</v>
      </c>
      <c r="AS56" s="90">
        <v>3</v>
      </c>
      <c r="AT56" s="90">
        <v>3</v>
      </c>
      <c r="AU56" s="90">
        <v>3</v>
      </c>
      <c r="AV56" s="90">
        <v>3</v>
      </c>
      <c r="AW56" s="90">
        <v>3</v>
      </c>
      <c r="AX56" s="90">
        <v>3</v>
      </c>
      <c r="AY56" s="90">
        <v>1</v>
      </c>
      <c r="AZ56" s="90">
        <v>1</v>
      </c>
      <c r="BA56" s="91">
        <v>5</v>
      </c>
      <c r="BB56" s="70"/>
      <c r="BC56" s="70"/>
    </row>
    <row r="57" spans="1:55" ht="15" customHeight="1" x14ac:dyDescent="0.35">
      <c r="A57" s="137"/>
      <c r="B57" s="126"/>
      <c r="C57" s="9" t="s">
        <v>551</v>
      </c>
      <c r="D57" s="80" t="s">
        <v>0</v>
      </c>
      <c r="E57" s="72"/>
      <c r="F57" s="72"/>
      <c r="G57" s="125"/>
      <c r="H57" s="80"/>
      <c r="I57" s="80"/>
      <c r="J57" s="125"/>
      <c r="K57" s="72"/>
      <c r="L57" s="72"/>
      <c r="M57" s="125"/>
      <c r="N57" s="109">
        <v>27150</v>
      </c>
      <c r="O57" s="72"/>
      <c r="P57" s="125"/>
      <c r="Q57" s="72"/>
      <c r="R57" s="72"/>
      <c r="S57" s="125"/>
      <c r="T57" s="72"/>
      <c r="U57" s="72"/>
      <c r="V57" s="125"/>
      <c r="W57" s="72"/>
      <c r="X57" s="72"/>
      <c r="Y57" s="125"/>
      <c r="Z57" s="72"/>
      <c r="AA57" s="72"/>
      <c r="AB57" s="125"/>
      <c r="AC57" s="72"/>
      <c r="AD57" s="72"/>
      <c r="AE57" s="132"/>
      <c r="AF57" s="72"/>
      <c r="AG57" s="72"/>
      <c r="AH57" s="132"/>
      <c r="AI57" s="72"/>
      <c r="AJ57" s="72"/>
      <c r="AK57" s="132"/>
      <c r="AL57" s="72"/>
      <c r="AM57" s="72"/>
      <c r="AN57" s="125"/>
      <c r="AO57" s="70"/>
      <c r="AP57" s="89" t="s">
        <v>342</v>
      </c>
      <c r="AQ57" s="90">
        <v>4</v>
      </c>
      <c r="AR57" s="90">
        <v>4</v>
      </c>
      <c r="AS57" s="90">
        <v>5</v>
      </c>
      <c r="AT57" s="90">
        <v>4</v>
      </c>
      <c r="AU57" s="90">
        <v>4</v>
      </c>
      <c r="AV57" s="90">
        <v>2</v>
      </c>
      <c r="AW57" s="90">
        <v>2</v>
      </c>
      <c r="AX57" s="90">
        <v>1</v>
      </c>
      <c r="AY57" s="90">
        <v>3</v>
      </c>
      <c r="AZ57" s="90">
        <v>3</v>
      </c>
      <c r="BA57" s="91">
        <v>2</v>
      </c>
      <c r="BB57" s="70"/>
      <c r="BC57" s="70"/>
    </row>
    <row r="58" spans="1:55" ht="13.9" customHeight="1" x14ac:dyDescent="0.35">
      <c r="A58" s="137"/>
      <c r="B58" s="127" t="s">
        <v>568</v>
      </c>
      <c r="C58" s="80" t="s">
        <v>385</v>
      </c>
      <c r="D58" s="80" t="s">
        <v>22</v>
      </c>
      <c r="E58" s="80"/>
      <c r="F58" s="80"/>
      <c r="G58" s="130"/>
      <c r="H58" s="80">
        <v>1.3</v>
      </c>
      <c r="I58" s="80"/>
      <c r="J58" s="130"/>
      <c r="K58" s="72">
        <v>1.1000000000000001</v>
      </c>
      <c r="L58" s="72"/>
      <c r="M58" s="122"/>
      <c r="N58" s="72">
        <v>1.5</v>
      </c>
      <c r="O58" s="72"/>
      <c r="P58" s="122"/>
      <c r="Q58" s="72"/>
      <c r="R58" s="72"/>
      <c r="S58" s="122"/>
      <c r="T58" s="72"/>
      <c r="U58" s="72"/>
      <c r="V58" s="122"/>
      <c r="W58" s="72"/>
      <c r="X58" s="72"/>
      <c r="Y58" s="120"/>
      <c r="Z58" s="72"/>
      <c r="AA58" s="72"/>
      <c r="AB58" s="122"/>
      <c r="AC58" s="72"/>
      <c r="AD58" s="72"/>
      <c r="AE58" s="122"/>
      <c r="AF58" s="72"/>
      <c r="AG58" s="72"/>
      <c r="AH58" s="122"/>
      <c r="AI58" s="72"/>
      <c r="AJ58" s="72"/>
      <c r="AK58" s="122"/>
      <c r="AL58" s="72"/>
      <c r="AM58" s="72"/>
      <c r="AN58" s="122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</row>
    <row r="59" spans="1:55" ht="13.9" customHeight="1" x14ac:dyDescent="0.35">
      <c r="A59" s="137"/>
      <c r="B59" s="128"/>
      <c r="C59" s="80" t="s">
        <v>565</v>
      </c>
      <c r="D59" s="80" t="s">
        <v>564</v>
      </c>
      <c r="E59" s="80"/>
      <c r="F59" s="80"/>
      <c r="G59" s="133"/>
      <c r="H59" s="80">
        <v>56</v>
      </c>
      <c r="I59" s="80"/>
      <c r="J59" s="133"/>
      <c r="K59" s="72">
        <v>85</v>
      </c>
      <c r="L59" s="72"/>
      <c r="M59" s="118"/>
      <c r="N59" s="72"/>
      <c r="O59" s="72"/>
      <c r="P59" s="118"/>
      <c r="Q59" s="72"/>
      <c r="R59" s="72"/>
      <c r="S59" s="118"/>
      <c r="T59" s="72"/>
      <c r="U59" s="72"/>
      <c r="V59" s="118"/>
      <c r="W59" s="72"/>
      <c r="X59" s="72"/>
      <c r="Y59" s="120"/>
      <c r="Z59" s="72"/>
      <c r="AA59" s="72"/>
      <c r="AB59" s="118"/>
      <c r="AC59" s="72"/>
      <c r="AD59" s="72"/>
      <c r="AE59" s="118"/>
      <c r="AF59" s="72"/>
      <c r="AG59" s="72"/>
      <c r="AH59" s="118"/>
      <c r="AI59" s="72"/>
      <c r="AJ59" s="72"/>
      <c r="AK59" s="118"/>
      <c r="AL59" s="72"/>
      <c r="AM59" s="72"/>
      <c r="AN59" s="118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</row>
    <row r="60" spans="1:55" ht="13.9" customHeight="1" x14ac:dyDescent="0.35">
      <c r="A60" s="137"/>
      <c r="B60" s="128"/>
      <c r="C60" s="80" t="s">
        <v>566</v>
      </c>
      <c r="D60" s="80" t="s">
        <v>564</v>
      </c>
      <c r="E60" s="80"/>
      <c r="F60" s="80"/>
      <c r="G60" s="133"/>
      <c r="H60" s="80">
        <v>450</v>
      </c>
      <c r="I60" s="80"/>
      <c r="J60" s="133"/>
      <c r="K60" s="72">
        <v>400</v>
      </c>
      <c r="L60" s="72"/>
      <c r="M60" s="118"/>
      <c r="N60" s="72"/>
      <c r="O60" s="72"/>
      <c r="P60" s="118"/>
      <c r="Q60" s="72"/>
      <c r="R60" s="72"/>
      <c r="S60" s="118"/>
      <c r="T60" s="72"/>
      <c r="U60" s="72"/>
      <c r="V60" s="118"/>
      <c r="W60" s="72"/>
      <c r="X60" s="72"/>
      <c r="Y60" s="120"/>
      <c r="Z60" s="72"/>
      <c r="AA60" s="72"/>
      <c r="AB60" s="118"/>
      <c r="AC60" s="72"/>
      <c r="AD60" s="72"/>
      <c r="AE60" s="118"/>
      <c r="AF60" s="72"/>
      <c r="AG60" s="72"/>
      <c r="AH60" s="118"/>
      <c r="AI60" s="72"/>
      <c r="AJ60" s="72"/>
      <c r="AK60" s="118"/>
      <c r="AL60" s="72"/>
      <c r="AM60" s="72"/>
      <c r="AN60" s="118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</row>
    <row r="61" spans="1:55" ht="13.9" customHeight="1" x14ac:dyDescent="0.35">
      <c r="A61" s="137"/>
      <c r="B61" s="128"/>
      <c r="C61" s="80"/>
      <c r="D61" s="80"/>
      <c r="E61" s="80"/>
      <c r="F61" s="80"/>
      <c r="G61" s="133"/>
      <c r="H61" s="80"/>
      <c r="I61" s="80"/>
      <c r="J61" s="133"/>
      <c r="K61" s="72"/>
      <c r="L61" s="72"/>
      <c r="M61" s="118"/>
      <c r="N61" s="72"/>
      <c r="O61" s="72"/>
      <c r="P61" s="118"/>
      <c r="Q61" s="72"/>
      <c r="R61" s="72"/>
      <c r="S61" s="118"/>
      <c r="T61" s="72"/>
      <c r="U61" s="72"/>
      <c r="V61" s="118"/>
      <c r="W61" s="72"/>
      <c r="X61" s="72"/>
      <c r="Y61" s="120"/>
      <c r="Z61" s="72"/>
      <c r="AA61" s="72"/>
      <c r="AB61" s="118"/>
      <c r="AC61" s="72"/>
      <c r="AD61" s="72"/>
      <c r="AE61" s="118"/>
      <c r="AF61" s="72"/>
      <c r="AG61" s="72"/>
      <c r="AH61" s="118"/>
      <c r="AI61" s="72"/>
      <c r="AJ61" s="72"/>
      <c r="AK61" s="118"/>
      <c r="AL61" s="72"/>
      <c r="AM61" s="72"/>
      <c r="AN61" s="118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</row>
    <row r="62" spans="1:55" ht="13.9" customHeight="1" x14ac:dyDescent="0.35">
      <c r="A62" s="137"/>
      <c r="B62" s="128"/>
      <c r="C62" s="80"/>
      <c r="D62" s="80"/>
      <c r="E62" s="80"/>
      <c r="F62" s="80"/>
      <c r="G62" s="133"/>
      <c r="H62" s="80"/>
      <c r="I62" s="80"/>
      <c r="J62" s="133"/>
      <c r="K62" s="72"/>
      <c r="L62" s="72"/>
      <c r="M62" s="118"/>
      <c r="N62" s="72"/>
      <c r="O62" s="72"/>
      <c r="P62" s="118"/>
      <c r="Q62" s="72"/>
      <c r="R62" s="72"/>
      <c r="S62" s="118"/>
      <c r="T62" s="72"/>
      <c r="U62" s="72"/>
      <c r="V62" s="118"/>
      <c r="W62" s="72"/>
      <c r="X62" s="72"/>
      <c r="Y62" s="120"/>
      <c r="Z62" s="72"/>
      <c r="AA62" s="72"/>
      <c r="AB62" s="118"/>
      <c r="AC62" s="72"/>
      <c r="AD62" s="72"/>
      <c r="AE62" s="118"/>
      <c r="AF62" s="72"/>
      <c r="AG62" s="72"/>
      <c r="AH62" s="118"/>
      <c r="AI62" s="72"/>
      <c r="AJ62" s="72"/>
      <c r="AK62" s="118"/>
      <c r="AL62" s="72"/>
      <c r="AM62" s="72"/>
      <c r="AN62" s="118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</row>
    <row r="63" spans="1:55" ht="13.9" customHeight="1" x14ac:dyDescent="0.35">
      <c r="A63" s="137"/>
      <c r="B63" s="129"/>
      <c r="C63" s="80"/>
      <c r="D63" s="80"/>
      <c r="E63" s="80"/>
      <c r="F63" s="80"/>
      <c r="G63" s="131"/>
      <c r="H63" s="80"/>
      <c r="I63" s="80"/>
      <c r="J63" s="131"/>
      <c r="K63" s="72"/>
      <c r="L63" s="72"/>
      <c r="M63" s="125"/>
      <c r="N63" s="73"/>
      <c r="O63" s="73"/>
      <c r="P63" s="125"/>
      <c r="Q63" s="73"/>
      <c r="R63" s="73"/>
      <c r="S63" s="125"/>
      <c r="T63" s="72"/>
      <c r="U63" s="72"/>
      <c r="V63" s="125"/>
      <c r="W63" s="72"/>
      <c r="X63" s="72"/>
      <c r="Y63" s="120"/>
      <c r="Z63" s="72"/>
      <c r="AA63" s="72"/>
      <c r="AB63" s="125"/>
      <c r="AC63" s="72"/>
      <c r="AD63" s="72"/>
      <c r="AE63" s="125"/>
      <c r="AF63" s="72"/>
      <c r="AG63" s="72"/>
      <c r="AH63" s="125"/>
      <c r="AI63" s="72"/>
      <c r="AJ63" s="72"/>
      <c r="AK63" s="125"/>
      <c r="AL63" s="72"/>
      <c r="AM63" s="72"/>
      <c r="AN63" s="125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</row>
    <row r="64" spans="1:55" ht="13.9" customHeight="1" x14ac:dyDescent="0.35">
      <c r="A64" s="137"/>
      <c r="B64" s="127"/>
      <c r="C64" s="80"/>
      <c r="D64" s="80"/>
      <c r="E64" s="80"/>
      <c r="F64" s="80"/>
      <c r="G64" s="130"/>
      <c r="H64" s="80"/>
      <c r="I64" s="80"/>
      <c r="J64" s="130"/>
      <c r="K64" s="72"/>
      <c r="L64" s="72"/>
      <c r="M64" s="122"/>
      <c r="N64" s="102"/>
      <c r="O64" s="72"/>
      <c r="P64" s="122"/>
      <c r="Q64" s="103"/>
      <c r="R64" s="72"/>
      <c r="S64" s="122"/>
      <c r="T64" s="72"/>
      <c r="U64" s="72"/>
      <c r="V64" s="122"/>
      <c r="W64" s="72"/>
      <c r="X64" s="72"/>
      <c r="Y64" s="120"/>
      <c r="Z64" s="72"/>
      <c r="AA64" s="72"/>
      <c r="AB64" s="122"/>
      <c r="AC64" s="72"/>
      <c r="AD64" s="72"/>
      <c r="AE64" s="122"/>
      <c r="AF64" s="72"/>
      <c r="AG64" s="72"/>
      <c r="AH64" s="122"/>
      <c r="AI64" s="72"/>
      <c r="AJ64" s="72"/>
      <c r="AK64" s="122"/>
      <c r="AL64" s="72"/>
      <c r="AM64" s="72"/>
      <c r="AN64" s="122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</row>
    <row r="65" spans="1:55" ht="13.9" customHeight="1" x14ac:dyDescent="0.35">
      <c r="A65" s="137"/>
      <c r="B65" s="129"/>
      <c r="C65" s="80"/>
      <c r="D65" s="80"/>
      <c r="E65" s="80"/>
      <c r="F65" s="80"/>
      <c r="G65" s="131"/>
      <c r="H65" s="80"/>
      <c r="I65" s="80"/>
      <c r="J65" s="131"/>
      <c r="K65" s="72"/>
      <c r="L65" s="72"/>
      <c r="M65" s="125"/>
      <c r="N65" s="102"/>
      <c r="O65" s="72"/>
      <c r="P65" s="125"/>
      <c r="Q65" s="103"/>
      <c r="R65" s="72"/>
      <c r="S65" s="125"/>
      <c r="T65" s="72"/>
      <c r="U65" s="72"/>
      <c r="V65" s="125"/>
      <c r="W65" s="72"/>
      <c r="X65" s="72"/>
      <c r="Y65" s="120"/>
      <c r="Z65" s="72"/>
      <c r="AA65" s="72"/>
      <c r="AB65" s="125"/>
      <c r="AC65" s="72"/>
      <c r="AD65" s="72"/>
      <c r="AE65" s="125"/>
      <c r="AF65" s="72"/>
      <c r="AG65" s="72"/>
      <c r="AH65" s="125"/>
      <c r="AI65" s="72"/>
      <c r="AJ65" s="72"/>
      <c r="AK65" s="125"/>
      <c r="AL65" s="72"/>
      <c r="AM65" s="72"/>
      <c r="AN65" s="125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</row>
    <row r="66" spans="1:55" x14ac:dyDescent="0.35">
      <c r="A66" s="137"/>
      <c r="B66" s="127"/>
      <c r="C66" s="80"/>
      <c r="D66" s="80"/>
      <c r="E66" s="72"/>
      <c r="F66" s="72"/>
      <c r="G66" s="122"/>
      <c r="H66" s="72"/>
      <c r="I66" s="72"/>
      <c r="J66" s="122"/>
      <c r="K66" s="72"/>
      <c r="L66" s="72"/>
      <c r="M66" s="122"/>
      <c r="N66" s="72"/>
      <c r="O66" s="72"/>
      <c r="P66" s="122"/>
      <c r="Q66" s="72"/>
      <c r="R66" s="72"/>
      <c r="S66" s="122"/>
      <c r="T66" s="72"/>
      <c r="U66" s="72"/>
      <c r="V66" s="122"/>
      <c r="W66" s="72"/>
      <c r="X66" s="72"/>
      <c r="Y66" s="118"/>
      <c r="Z66" s="72"/>
      <c r="AA66" s="72"/>
      <c r="AB66" s="122"/>
      <c r="AC66" s="72"/>
      <c r="AD66" s="72"/>
      <c r="AE66" s="122"/>
      <c r="AF66" s="72"/>
      <c r="AG66" s="72"/>
      <c r="AH66" s="122"/>
      <c r="AI66" s="72"/>
      <c r="AJ66" s="72"/>
      <c r="AK66" s="122"/>
      <c r="AL66" s="72"/>
      <c r="AM66" s="72"/>
      <c r="AN66" s="122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</row>
    <row r="67" spans="1:55" x14ac:dyDescent="0.35">
      <c r="A67" s="137"/>
      <c r="B67" s="128"/>
      <c r="C67" s="80"/>
      <c r="D67" s="80"/>
      <c r="E67" s="80"/>
      <c r="F67" s="80"/>
      <c r="G67" s="118"/>
      <c r="H67" s="80"/>
      <c r="I67" s="80"/>
      <c r="J67" s="118"/>
      <c r="K67" s="73"/>
      <c r="L67" s="73"/>
      <c r="M67" s="118"/>
      <c r="N67" s="72"/>
      <c r="O67" s="72"/>
      <c r="P67" s="118"/>
      <c r="Q67" s="72"/>
      <c r="R67" s="72"/>
      <c r="S67" s="118"/>
      <c r="T67" s="72"/>
      <c r="U67" s="72"/>
      <c r="V67" s="118"/>
      <c r="W67" s="72"/>
      <c r="X67" s="72"/>
      <c r="Y67" s="118"/>
      <c r="Z67" s="72"/>
      <c r="AA67" s="72"/>
      <c r="AB67" s="118"/>
      <c r="AC67" s="72"/>
      <c r="AD67" s="72"/>
      <c r="AE67" s="118"/>
      <c r="AF67" s="72"/>
      <c r="AG67" s="72"/>
      <c r="AH67" s="118"/>
      <c r="AI67" s="72"/>
      <c r="AJ67" s="72"/>
      <c r="AK67" s="118"/>
      <c r="AL67" s="72"/>
      <c r="AM67" s="72"/>
      <c r="AN67" s="118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</row>
    <row r="68" spans="1:55" ht="13.9" customHeight="1" x14ac:dyDescent="0.35">
      <c r="A68" s="138"/>
      <c r="B68" s="129"/>
      <c r="C68" s="80"/>
      <c r="D68" s="80"/>
      <c r="E68" s="80"/>
      <c r="F68" s="80"/>
      <c r="G68" s="125"/>
      <c r="H68" s="80"/>
      <c r="I68" s="80"/>
      <c r="J68" s="125"/>
      <c r="K68" s="73"/>
      <c r="L68" s="73"/>
      <c r="M68" s="125"/>
      <c r="N68" s="72"/>
      <c r="O68" s="72"/>
      <c r="P68" s="125"/>
      <c r="Q68" s="72"/>
      <c r="R68" s="72"/>
      <c r="S68" s="125"/>
      <c r="T68" s="72"/>
      <c r="U68" s="72"/>
      <c r="V68" s="125"/>
      <c r="W68" s="72"/>
      <c r="X68" s="72"/>
      <c r="Y68" s="125"/>
      <c r="Z68" s="72"/>
      <c r="AA68" s="72"/>
      <c r="AB68" s="125"/>
      <c r="AC68" s="72"/>
      <c r="AD68" s="72"/>
      <c r="AE68" s="125"/>
      <c r="AF68" s="73"/>
      <c r="AG68" s="73"/>
      <c r="AH68" s="125"/>
      <c r="AI68" s="73"/>
      <c r="AJ68" s="73"/>
      <c r="AK68" s="125"/>
      <c r="AL68" s="73"/>
      <c r="AM68" s="73"/>
      <c r="AN68" s="125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</row>
    <row r="69" spans="1:55" x14ac:dyDescent="0.35">
      <c r="A69" s="119" t="s">
        <v>388</v>
      </c>
      <c r="B69" s="126"/>
      <c r="C69" s="80"/>
      <c r="D69" s="72"/>
      <c r="E69" s="72"/>
      <c r="F69" s="72"/>
      <c r="G69" s="122"/>
      <c r="H69" s="72"/>
      <c r="I69" s="72"/>
      <c r="J69" s="122"/>
      <c r="K69" s="72"/>
      <c r="L69" s="72"/>
      <c r="M69" s="122"/>
      <c r="N69" s="72"/>
      <c r="O69" s="72"/>
      <c r="P69" s="122"/>
      <c r="Q69" s="72"/>
      <c r="R69" s="72"/>
      <c r="S69" s="122"/>
      <c r="T69" s="72"/>
      <c r="U69" s="72"/>
      <c r="V69" s="122"/>
      <c r="W69" s="72"/>
      <c r="X69" s="72"/>
      <c r="Y69" s="122"/>
      <c r="Z69" s="72"/>
      <c r="AA69" s="72"/>
      <c r="AB69" s="122"/>
      <c r="AC69" s="72"/>
      <c r="AD69" s="72"/>
      <c r="AE69" s="122"/>
      <c r="AF69" s="72"/>
      <c r="AG69" s="72"/>
      <c r="AH69" s="122"/>
      <c r="AI69" s="72"/>
      <c r="AJ69" s="72"/>
      <c r="AK69" s="122"/>
      <c r="AL69" s="72"/>
      <c r="AM69" s="72"/>
      <c r="AN69" s="122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</row>
    <row r="70" spans="1:55" x14ac:dyDescent="0.35">
      <c r="A70" s="119"/>
      <c r="B70" s="126"/>
      <c r="C70" s="80" t="s">
        <v>571</v>
      </c>
      <c r="D70" s="72"/>
      <c r="E70" s="72"/>
      <c r="F70" s="72"/>
      <c r="G70" s="118"/>
      <c r="H70" s="72"/>
      <c r="I70" s="72"/>
      <c r="J70" s="118"/>
      <c r="K70" s="72"/>
      <c r="L70" s="72"/>
      <c r="M70" s="118"/>
      <c r="N70" s="72"/>
      <c r="O70" s="72"/>
      <c r="P70" s="118"/>
      <c r="Q70" s="72"/>
      <c r="R70" s="72"/>
      <c r="S70" s="118"/>
      <c r="T70" s="72"/>
      <c r="U70" s="72"/>
      <c r="V70" s="118"/>
      <c r="W70" s="72"/>
      <c r="X70" s="72"/>
      <c r="Y70" s="118"/>
      <c r="Z70" s="72"/>
      <c r="AA70" s="72"/>
      <c r="AB70" s="118"/>
      <c r="AC70" s="72"/>
      <c r="AD70" s="72"/>
      <c r="AE70" s="118"/>
      <c r="AF70" s="72"/>
      <c r="AG70" s="72"/>
      <c r="AH70" s="118"/>
      <c r="AI70" s="72"/>
      <c r="AJ70" s="72"/>
      <c r="AK70" s="118"/>
      <c r="AL70" s="72"/>
      <c r="AM70" s="72"/>
      <c r="AN70" s="118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</row>
    <row r="71" spans="1:55" x14ac:dyDescent="0.35">
      <c r="A71" s="119"/>
      <c r="B71" s="126"/>
      <c r="C71" s="80" t="s">
        <v>572</v>
      </c>
      <c r="D71" s="72"/>
      <c r="E71" s="72"/>
      <c r="F71" s="72"/>
      <c r="G71" s="122"/>
      <c r="H71" s="93"/>
      <c r="I71" s="72"/>
      <c r="J71" s="122"/>
      <c r="K71" s="93"/>
      <c r="L71" s="93"/>
      <c r="M71" s="122"/>
      <c r="N71" s="72"/>
      <c r="O71" s="72"/>
      <c r="P71" s="122"/>
      <c r="Q71" s="72"/>
      <c r="R71" s="72"/>
      <c r="S71" s="122"/>
      <c r="T71" s="72"/>
      <c r="U71" s="72"/>
      <c r="V71" s="122"/>
      <c r="W71" s="72"/>
      <c r="X71" s="72"/>
      <c r="Y71" s="122"/>
      <c r="Z71" s="72"/>
      <c r="AA71" s="72"/>
      <c r="AB71" s="122"/>
      <c r="AC71" s="72"/>
      <c r="AD71" s="72"/>
      <c r="AE71" s="122"/>
      <c r="AF71" s="72"/>
      <c r="AG71" s="72"/>
      <c r="AH71" s="122"/>
      <c r="AI71" s="72"/>
      <c r="AJ71" s="72"/>
      <c r="AK71" s="122"/>
      <c r="AL71" s="72"/>
      <c r="AM71" s="72"/>
      <c r="AN71" s="122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</row>
    <row r="72" spans="1:55" x14ac:dyDescent="0.35">
      <c r="A72" s="119"/>
      <c r="B72" s="126"/>
      <c r="C72" s="80" t="s">
        <v>574</v>
      </c>
      <c r="D72" s="72"/>
      <c r="E72" s="72"/>
      <c r="F72" s="72"/>
      <c r="G72" s="118"/>
      <c r="H72" s="72"/>
      <c r="I72" s="72"/>
      <c r="J72" s="118"/>
      <c r="K72" s="72"/>
      <c r="L72" s="72"/>
      <c r="M72" s="118"/>
      <c r="N72" s="72"/>
      <c r="O72" s="72"/>
      <c r="P72" s="118"/>
      <c r="Q72" s="72"/>
      <c r="R72" s="72"/>
      <c r="S72" s="118"/>
      <c r="T72" s="72"/>
      <c r="U72" s="72"/>
      <c r="V72" s="118"/>
      <c r="W72" s="72"/>
      <c r="X72" s="72"/>
      <c r="Y72" s="118"/>
      <c r="Z72" s="72"/>
      <c r="AA72" s="72"/>
      <c r="AB72" s="118"/>
      <c r="AC72" s="72"/>
      <c r="AD72" s="72"/>
      <c r="AE72" s="118"/>
      <c r="AF72" s="72"/>
      <c r="AG72" s="72"/>
      <c r="AH72" s="118"/>
      <c r="AI72" s="72"/>
      <c r="AJ72" s="72"/>
      <c r="AK72" s="118"/>
      <c r="AL72" s="72"/>
      <c r="AM72" s="72"/>
      <c r="AN72" s="118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</row>
    <row r="73" spans="1:55" x14ac:dyDescent="0.35">
      <c r="A73" s="119"/>
      <c r="B73" s="126"/>
      <c r="C73" s="80" t="s">
        <v>586</v>
      </c>
      <c r="D73" s="72"/>
      <c r="E73" s="72"/>
      <c r="F73" s="72"/>
      <c r="G73" s="118"/>
      <c r="H73" s="72" t="s">
        <v>587</v>
      </c>
      <c r="I73" s="72"/>
      <c r="J73" s="118"/>
      <c r="K73" s="72"/>
      <c r="L73" s="72"/>
      <c r="M73" s="118"/>
      <c r="N73" s="72"/>
      <c r="O73" s="72"/>
      <c r="P73" s="118"/>
      <c r="Q73" s="72"/>
      <c r="R73" s="72"/>
      <c r="S73" s="118"/>
      <c r="T73" s="72"/>
      <c r="U73" s="72"/>
      <c r="V73" s="118"/>
      <c r="W73" s="72"/>
      <c r="X73" s="72"/>
      <c r="Y73" s="118"/>
      <c r="Z73" s="72"/>
      <c r="AA73" s="72"/>
      <c r="AB73" s="118"/>
      <c r="AC73" s="72"/>
      <c r="AD73" s="72"/>
      <c r="AE73" s="118"/>
      <c r="AF73" s="72"/>
      <c r="AG73" s="72"/>
      <c r="AH73" s="118"/>
      <c r="AI73" s="72"/>
      <c r="AJ73" s="72"/>
      <c r="AK73" s="118"/>
      <c r="AL73" s="72"/>
      <c r="AM73" s="72"/>
      <c r="AN73" s="118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</row>
    <row r="74" spans="1:55" x14ac:dyDescent="0.35">
      <c r="A74" s="119"/>
      <c r="B74" s="126"/>
      <c r="C74" s="80" t="s">
        <v>600</v>
      </c>
      <c r="D74" s="72"/>
      <c r="E74" s="72"/>
      <c r="F74" s="72"/>
      <c r="G74" s="118"/>
      <c r="H74" s="72" t="s">
        <v>601</v>
      </c>
      <c r="I74" s="72"/>
      <c r="J74" s="118"/>
      <c r="K74" s="72" t="s">
        <v>615</v>
      </c>
      <c r="L74" s="72"/>
      <c r="M74" s="118"/>
      <c r="N74" s="72" t="s">
        <v>601</v>
      </c>
      <c r="O74" s="72"/>
      <c r="P74" s="118"/>
      <c r="Q74" s="72"/>
      <c r="R74" s="72"/>
      <c r="S74" s="118"/>
      <c r="T74" s="72"/>
      <c r="U74" s="72"/>
      <c r="V74" s="118"/>
      <c r="W74" s="72"/>
      <c r="X74" s="72"/>
      <c r="Y74" s="118"/>
      <c r="Z74" s="72"/>
      <c r="AA74" s="72"/>
      <c r="AB74" s="118"/>
      <c r="AC74" s="72"/>
      <c r="AD74" s="72"/>
      <c r="AE74" s="118"/>
      <c r="AF74" s="72"/>
      <c r="AG74" s="72"/>
      <c r="AH74" s="118"/>
      <c r="AI74" s="72"/>
      <c r="AJ74" s="72"/>
      <c r="AK74" s="118"/>
      <c r="AL74" s="72"/>
      <c r="AM74" s="72"/>
      <c r="AN74" s="118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</row>
    <row r="75" spans="1:55" x14ac:dyDescent="0.35">
      <c r="A75" s="119"/>
      <c r="B75" s="126"/>
      <c r="C75" s="80" t="s">
        <v>616</v>
      </c>
      <c r="D75" s="72"/>
      <c r="E75" s="72"/>
      <c r="F75" s="72"/>
      <c r="G75" s="118"/>
      <c r="H75" s="72"/>
      <c r="I75" s="72"/>
      <c r="J75" s="118"/>
      <c r="K75" s="72" t="s">
        <v>617</v>
      </c>
      <c r="L75" s="72"/>
      <c r="M75" s="118"/>
      <c r="N75" s="102"/>
      <c r="O75" s="72"/>
      <c r="P75" s="118"/>
      <c r="Q75" s="103"/>
      <c r="R75" s="72"/>
      <c r="S75" s="118"/>
      <c r="T75" s="72"/>
      <c r="U75" s="72"/>
      <c r="V75" s="118"/>
      <c r="W75" s="72"/>
      <c r="X75" s="72"/>
      <c r="Y75" s="118"/>
      <c r="Z75" s="72"/>
      <c r="AA75" s="72"/>
      <c r="AB75" s="118"/>
      <c r="AC75" s="72"/>
      <c r="AD75" s="72"/>
      <c r="AE75" s="118"/>
      <c r="AF75" s="72"/>
      <c r="AG75" s="72"/>
      <c r="AH75" s="118"/>
      <c r="AI75" s="72"/>
      <c r="AJ75" s="72"/>
      <c r="AK75" s="118"/>
      <c r="AL75" s="72"/>
      <c r="AM75" s="72"/>
      <c r="AN75" s="118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</row>
    <row r="76" spans="1:55" x14ac:dyDescent="0.35">
      <c r="A76" s="119"/>
      <c r="B76" s="126"/>
      <c r="C76" s="80" t="s">
        <v>618</v>
      </c>
      <c r="D76" s="72"/>
      <c r="E76" s="72"/>
      <c r="F76" s="72"/>
      <c r="G76" s="118"/>
      <c r="H76" s="72"/>
      <c r="I76" s="72"/>
      <c r="J76" s="118"/>
      <c r="K76" s="72"/>
      <c r="L76" s="72"/>
      <c r="M76" s="118"/>
      <c r="N76" s="72" t="s">
        <v>619</v>
      </c>
      <c r="O76" s="72"/>
      <c r="P76" s="118"/>
      <c r="Q76" s="72"/>
      <c r="R76" s="72"/>
      <c r="S76" s="118"/>
      <c r="T76" s="72"/>
      <c r="U76" s="72"/>
      <c r="V76" s="118"/>
      <c r="W76" s="72"/>
      <c r="X76" s="72"/>
      <c r="Y76" s="118"/>
      <c r="Z76" s="72"/>
      <c r="AA76" s="72"/>
      <c r="AB76" s="118"/>
      <c r="AC76" s="72"/>
      <c r="AD76" s="107"/>
      <c r="AE76" s="118"/>
      <c r="AF76" s="72"/>
      <c r="AG76" s="72"/>
      <c r="AH76" s="118"/>
      <c r="AI76" s="72"/>
      <c r="AJ76" s="72"/>
      <c r="AK76" s="118"/>
      <c r="AL76" s="72"/>
      <c r="AM76" s="72"/>
      <c r="AN76" s="118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</row>
    <row r="77" spans="1:55" x14ac:dyDescent="0.35">
      <c r="A77" s="119"/>
      <c r="B77" s="126"/>
      <c r="C77" s="80" t="s">
        <v>625</v>
      </c>
      <c r="D77" s="72"/>
      <c r="E77" s="72"/>
      <c r="F77" s="72"/>
      <c r="G77" s="125"/>
      <c r="H77" s="72"/>
      <c r="I77" s="72"/>
      <c r="J77" s="125"/>
      <c r="K77" s="72" t="s">
        <v>626</v>
      </c>
      <c r="L77" s="72"/>
      <c r="M77" s="125"/>
      <c r="N77" s="72" t="s">
        <v>626</v>
      </c>
      <c r="O77" s="72"/>
      <c r="P77" s="125"/>
      <c r="Q77" s="72"/>
      <c r="R77" s="72"/>
      <c r="S77" s="125"/>
      <c r="T77" s="73"/>
      <c r="U77" s="73"/>
      <c r="V77" s="125"/>
      <c r="W77" s="73"/>
      <c r="X77" s="72"/>
      <c r="Y77" s="125"/>
      <c r="Z77" s="73"/>
      <c r="AA77" s="72"/>
      <c r="AB77" s="125"/>
      <c r="AC77" s="72"/>
      <c r="AD77" s="72"/>
      <c r="AE77" s="125"/>
      <c r="AF77" s="72"/>
      <c r="AG77" s="72"/>
      <c r="AH77" s="125"/>
      <c r="AI77" s="72"/>
      <c r="AJ77" s="72"/>
      <c r="AK77" s="125"/>
      <c r="AL77" s="72"/>
      <c r="AM77" s="72"/>
      <c r="AN77" s="125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</row>
    <row r="78" spans="1:55" x14ac:dyDescent="0.35">
      <c r="A78" s="119"/>
      <c r="B78" s="126"/>
      <c r="C78" s="80"/>
      <c r="D78" s="72"/>
      <c r="E78" s="72"/>
      <c r="F78" s="72"/>
      <c r="G78" s="122"/>
      <c r="H78" s="72"/>
      <c r="I78" s="72"/>
      <c r="J78" s="122"/>
      <c r="K78" s="72"/>
      <c r="L78" s="72"/>
      <c r="M78" s="122"/>
      <c r="N78" s="72"/>
      <c r="O78" s="72"/>
      <c r="P78" s="122"/>
      <c r="Q78" s="72"/>
      <c r="R78" s="72"/>
      <c r="S78" s="122"/>
      <c r="T78" s="72"/>
      <c r="U78" s="72"/>
      <c r="V78" s="122"/>
      <c r="W78" s="72"/>
      <c r="X78" s="72"/>
      <c r="Y78" s="122"/>
      <c r="Z78" s="72"/>
      <c r="AA78" s="72"/>
      <c r="AB78" s="122"/>
      <c r="AC78" s="73"/>
      <c r="AD78" s="73"/>
      <c r="AE78" s="123"/>
      <c r="AF78" s="72"/>
      <c r="AG78" s="72"/>
      <c r="AH78" s="122"/>
      <c r="AI78" s="72"/>
      <c r="AJ78" s="72"/>
      <c r="AK78" s="122"/>
      <c r="AL78" s="72"/>
      <c r="AM78" s="72"/>
      <c r="AN78" s="122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</row>
    <row r="79" spans="1:55" x14ac:dyDescent="0.35">
      <c r="A79" s="119"/>
      <c r="B79" s="126"/>
      <c r="C79" s="80"/>
      <c r="D79" s="72"/>
      <c r="E79" s="72"/>
      <c r="F79" s="72"/>
      <c r="G79" s="118"/>
      <c r="H79" s="72"/>
      <c r="I79" s="72"/>
      <c r="J79" s="118"/>
      <c r="K79" s="93"/>
      <c r="L79" s="93"/>
      <c r="M79" s="118"/>
      <c r="N79" s="72"/>
      <c r="O79" s="72"/>
      <c r="P79" s="118"/>
      <c r="Q79" s="72"/>
      <c r="R79" s="72"/>
      <c r="S79" s="118"/>
      <c r="T79" s="72"/>
      <c r="U79" s="72"/>
      <c r="V79" s="118"/>
      <c r="W79" s="72"/>
      <c r="X79" s="72"/>
      <c r="Y79" s="118"/>
      <c r="Z79" s="72"/>
      <c r="AA79" s="72"/>
      <c r="AB79" s="118"/>
      <c r="AC79" s="72"/>
      <c r="AD79" s="73"/>
      <c r="AE79" s="121"/>
      <c r="AF79" s="72"/>
      <c r="AG79" s="72"/>
      <c r="AH79" s="118"/>
      <c r="AI79" s="72"/>
      <c r="AJ79" s="72"/>
      <c r="AK79" s="118"/>
      <c r="AL79" s="72"/>
      <c r="AM79" s="72"/>
      <c r="AN79" s="118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</row>
    <row r="80" spans="1:55" x14ac:dyDescent="0.35">
      <c r="A80" s="119"/>
      <c r="B80" s="126"/>
      <c r="C80" s="80"/>
      <c r="D80" s="72"/>
      <c r="E80" s="72"/>
      <c r="F80" s="72"/>
      <c r="G80" s="118"/>
      <c r="H80" s="72"/>
      <c r="I80" s="72"/>
      <c r="J80" s="118"/>
      <c r="K80" s="72"/>
      <c r="L80" s="72"/>
      <c r="M80" s="118"/>
      <c r="N80" s="72"/>
      <c r="O80" s="72"/>
      <c r="P80" s="118"/>
      <c r="Q80" s="72"/>
      <c r="R80" s="72"/>
      <c r="S80" s="118"/>
      <c r="T80" s="72"/>
      <c r="U80" s="72"/>
      <c r="V80" s="118"/>
      <c r="W80" s="72"/>
      <c r="X80" s="72"/>
      <c r="Y80" s="118"/>
      <c r="Z80" s="72"/>
      <c r="AA80" s="72"/>
      <c r="AB80" s="118"/>
      <c r="AC80" s="72"/>
      <c r="AD80" s="72"/>
      <c r="AE80" s="121"/>
      <c r="AF80" s="72"/>
      <c r="AG80" s="72"/>
      <c r="AH80" s="118"/>
      <c r="AI80" s="72"/>
      <c r="AJ80" s="72"/>
      <c r="AK80" s="118"/>
      <c r="AL80" s="72"/>
      <c r="AM80" s="72"/>
      <c r="AN80" s="118"/>
      <c r="AO80" s="70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70"/>
      <c r="BC80" s="70"/>
    </row>
    <row r="81" spans="1:55" x14ac:dyDescent="0.35">
      <c r="A81" s="119"/>
      <c r="B81" s="126"/>
      <c r="C81" s="80"/>
      <c r="D81" s="72"/>
      <c r="E81" s="72"/>
      <c r="F81" s="72"/>
      <c r="G81" s="118"/>
      <c r="H81" s="72"/>
      <c r="I81" s="72"/>
      <c r="J81" s="118"/>
      <c r="K81" s="72"/>
      <c r="L81" s="72"/>
      <c r="M81" s="118"/>
      <c r="N81" s="72"/>
      <c r="O81" s="72"/>
      <c r="P81" s="118"/>
      <c r="Q81" s="72"/>
      <c r="R81" s="72"/>
      <c r="S81" s="118"/>
      <c r="T81" s="72"/>
      <c r="U81" s="72"/>
      <c r="V81" s="118"/>
      <c r="W81" s="72"/>
      <c r="X81" s="72"/>
      <c r="Y81" s="118"/>
      <c r="Z81" s="72"/>
      <c r="AA81" s="72"/>
      <c r="AB81" s="118"/>
      <c r="AC81" s="72"/>
      <c r="AD81" s="72"/>
      <c r="AE81" s="121"/>
      <c r="AF81" s="72"/>
      <c r="AG81" s="72"/>
      <c r="AH81" s="118"/>
      <c r="AI81" s="72"/>
      <c r="AJ81" s="72"/>
      <c r="AK81" s="118"/>
      <c r="AL81" s="72"/>
      <c r="AM81" s="72"/>
      <c r="AN81" s="118"/>
      <c r="AO81" s="70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70"/>
      <c r="BC81" s="70"/>
    </row>
    <row r="82" spans="1:55" x14ac:dyDescent="0.35">
      <c r="A82" s="119"/>
      <c r="B82" s="126"/>
      <c r="C82" s="80"/>
      <c r="D82" s="72"/>
      <c r="E82" s="72"/>
      <c r="F82" s="72"/>
      <c r="G82" s="118"/>
      <c r="H82" s="72"/>
      <c r="I82" s="72"/>
      <c r="J82" s="118"/>
      <c r="K82" s="72"/>
      <c r="L82" s="72"/>
      <c r="M82" s="118"/>
      <c r="N82" s="72"/>
      <c r="O82" s="72"/>
      <c r="P82" s="118"/>
      <c r="Q82" s="72"/>
      <c r="R82" s="72"/>
      <c r="S82" s="118"/>
      <c r="T82" s="72"/>
      <c r="U82" s="72"/>
      <c r="V82" s="118"/>
      <c r="W82" s="72"/>
      <c r="X82" s="72"/>
      <c r="Y82" s="118"/>
      <c r="Z82" s="72"/>
      <c r="AA82" s="72"/>
      <c r="AB82" s="118"/>
      <c r="AC82" s="72"/>
      <c r="AD82" s="72"/>
      <c r="AE82" s="121"/>
      <c r="AF82" s="72"/>
      <c r="AG82" s="72"/>
      <c r="AH82" s="118"/>
      <c r="AI82" s="72"/>
      <c r="AJ82" s="72"/>
      <c r="AK82" s="118"/>
      <c r="AL82" s="72"/>
      <c r="AM82" s="72"/>
      <c r="AN82" s="118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</row>
    <row r="83" spans="1:55" x14ac:dyDescent="0.35">
      <c r="A83" s="119"/>
      <c r="B83" s="126"/>
      <c r="C83" s="80"/>
      <c r="D83" s="72"/>
      <c r="E83" s="72"/>
      <c r="F83" s="72"/>
      <c r="G83" s="118"/>
      <c r="H83" s="72"/>
      <c r="I83" s="72"/>
      <c r="J83" s="118"/>
      <c r="K83" s="72"/>
      <c r="L83" s="72"/>
      <c r="M83" s="118"/>
      <c r="N83" s="72"/>
      <c r="O83" s="72"/>
      <c r="P83" s="118"/>
      <c r="Q83" s="72"/>
      <c r="R83" s="72"/>
      <c r="S83" s="118"/>
      <c r="T83" s="72"/>
      <c r="U83" s="72"/>
      <c r="V83" s="118"/>
      <c r="W83" s="72"/>
      <c r="X83" s="72"/>
      <c r="Y83" s="118"/>
      <c r="Z83" s="72"/>
      <c r="AA83" s="72"/>
      <c r="AB83" s="118"/>
      <c r="AC83" s="72"/>
      <c r="AD83" s="72"/>
      <c r="AE83" s="121"/>
      <c r="AF83" s="72"/>
      <c r="AG83" s="72"/>
      <c r="AH83" s="118"/>
      <c r="AI83" s="72"/>
      <c r="AJ83" s="72"/>
      <c r="AK83" s="118"/>
      <c r="AL83" s="72"/>
      <c r="AM83" s="72"/>
      <c r="AN83" s="118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</row>
    <row r="84" spans="1:55" x14ac:dyDescent="0.35">
      <c r="A84" s="119"/>
      <c r="B84" s="126"/>
      <c r="C84" s="80"/>
      <c r="D84" s="72"/>
      <c r="E84" s="72"/>
      <c r="F84" s="72"/>
      <c r="G84" s="118"/>
      <c r="H84" s="72"/>
      <c r="I84" s="72"/>
      <c r="J84" s="118"/>
      <c r="K84" s="73"/>
      <c r="L84" s="72"/>
      <c r="M84" s="118"/>
      <c r="N84" s="72"/>
      <c r="O84" s="72"/>
      <c r="P84" s="118"/>
      <c r="Q84" s="72"/>
      <c r="R84" s="72"/>
      <c r="S84" s="118"/>
      <c r="T84" s="72"/>
      <c r="U84" s="72"/>
      <c r="V84" s="118"/>
      <c r="W84" s="72"/>
      <c r="X84" s="72"/>
      <c r="Y84" s="118"/>
      <c r="Z84" s="72"/>
      <c r="AA84" s="72"/>
      <c r="AB84" s="118"/>
      <c r="AC84" s="72"/>
      <c r="AD84" s="72"/>
      <c r="AE84" s="121"/>
      <c r="AF84" s="72"/>
      <c r="AG84" s="72"/>
      <c r="AH84" s="118"/>
      <c r="AI84" s="72"/>
      <c r="AJ84" s="72"/>
      <c r="AK84" s="118"/>
      <c r="AL84" s="72"/>
      <c r="AM84" s="72"/>
      <c r="AN84" s="118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</row>
    <row r="85" spans="1:55" x14ac:dyDescent="0.35">
      <c r="A85" s="119"/>
      <c r="B85" s="126"/>
      <c r="C85" s="80"/>
      <c r="D85" s="72"/>
      <c r="E85" s="72"/>
      <c r="F85" s="72"/>
      <c r="G85" s="118"/>
      <c r="H85" s="72"/>
      <c r="I85" s="72"/>
      <c r="J85" s="118"/>
      <c r="K85" s="72"/>
      <c r="L85" s="73"/>
      <c r="M85" s="118"/>
      <c r="N85" s="72"/>
      <c r="O85" s="72"/>
      <c r="P85" s="118"/>
      <c r="Q85" s="72"/>
      <c r="R85" s="72"/>
      <c r="S85" s="118"/>
      <c r="T85" s="72"/>
      <c r="U85" s="72"/>
      <c r="V85" s="118"/>
      <c r="W85" s="72"/>
      <c r="X85" s="72"/>
      <c r="Y85" s="118"/>
      <c r="Z85" s="72"/>
      <c r="AA85" s="72"/>
      <c r="AB85" s="118"/>
      <c r="AC85" s="72"/>
      <c r="AD85" s="72"/>
      <c r="AE85" s="121"/>
      <c r="AF85" s="72"/>
      <c r="AG85" s="72"/>
      <c r="AH85" s="118"/>
      <c r="AI85" s="72"/>
      <c r="AJ85" s="72"/>
      <c r="AK85" s="118"/>
      <c r="AL85" s="72"/>
      <c r="AM85" s="72"/>
      <c r="AN85" s="118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</row>
    <row r="86" spans="1:55" ht="17.25" thickBot="1" x14ac:dyDescent="0.4">
      <c r="A86" s="119"/>
      <c r="B86" s="124"/>
      <c r="C86" s="80"/>
      <c r="D86" s="72"/>
      <c r="E86" s="72"/>
      <c r="F86" s="72"/>
      <c r="G86" s="121"/>
      <c r="H86" s="72"/>
      <c r="I86" s="72"/>
      <c r="J86" s="121"/>
      <c r="K86" s="72"/>
      <c r="L86" s="72"/>
      <c r="M86" s="121"/>
      <c r="N86" s="72"/>
      <c r="O86" s="72"/>
      <c r="P86" s="121"/>
      <c r="Q86" s="72"/>
      <c r="R86" s="72"/>
      <c r="S86" s="121"/>
      <c r="T86" s="72"/>
      <c r="U86" s="72"/>
      <c r="V86" s="118"/>
      <c r="W86" s="72"/>
      <c r="X86" s="72"/>
      <c r="Y86" s="121"/>
      <c r="Z86" s="72"/>
      <c r="AA86" s="72"/>
      <c r="AB86" s="121"/>
      <c r="AC86" s="72"/>
      <c r="AD86" s="72"/>
      <c r="AE86" s="121"/>
      <c r="AF86" s="72"/>
      <c r="AG86" s="72"/>
      <c r="AH86" s="121"/>
      <c r="AI86" s="72"/>
      <c r="AJ86" s="72"/>
      <c r="AK86" s="121"/>
      <c r="AL86" s="72"/>
      <c r="AM86" s="72"/>
      <c r="AN86" s="118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</row>
    <row r="87" spans="1:55" ht="30" x14ac:dyDescent="0.35">
      <c r="A87" s="119"/>
      <c r="B87" s="124"/>
      <c r="C87" s="80"/>
      <c r="D87" s="72"/>
      <c r="E87" s="72"/>
      <c r="F87" s="72"/>
      <c r="G87" s="121"/>
      <c r="H87" s="72"/>
      <c r="I87" s="72"/>
      <c r="J87" s="121"/>
      <c r="K87" s="72"/>
      <c r="L87" s="72"/>
      <c r="M87" s="121"/>
      <c r="N87" s="72"/>
      <c r="O87" s="72"/>
      <c r="P87" s="121"/>
      <c r="Q87" s="72"/>
      <c r="R87" s="72"/>
      <c r="S87" s="121"/>
      <c r="T87" s="72"/>
      <c r="U87" s="72"/>
      <c r="V87" s="118"/>
      <c r="W87" s="72"/>
      <c r="X87" s="72"/>
      <c r="Y87" s="121"/>
      <c r="Z87" s="72"/>
      <c r="AA87" s="72"/>
      <c r="AB87" s="121"/>
      <c r="AC87" s="72"/>
      <c r="AD87" s="72"/>
      <c r="AE87" s="121"/>
      <c r="AF87" s="72"/>
      <c r="AG87" s="72"/>
      <c r="AH87" s="121"/>
      <c r="AI87" s="72"/>
      <c r="AJ87" s="72"/>
      <c r="AK87" s="121"/>
      <c r="AL87" s="72"/>
      <c r="AM87" s="72"/>
      <c r="AN87" s="118"/>
      <c r="AO87" s="70"/>
      <c r="AP87" s="94"/>
      <c r="AQ87" s="87" t="s">
        <v>4</v>
      </c>
      <c r="AR87" s="87" t="s">
        <v>5</v>
      </c>
      <c r="AS87" s="87" t="s">
        <v>6</v>
      </c>
      <c r="AT87" s="87" t="s">
        <v>7</v>
      </c>
      <c r="AU87" s="87" t="s">
        <v>8</v>
      </c>
      <c r="AV87" s="87" t="s">
        <v>9</v>
      </c>
      <c r="AW87" s="87" t="s">
        <v>10</v>
      </c>
      <c r="AX87" s="87" t="s">
        <v>11</v>
      </c>
      <c r="AY87" s="87" t="s">
        <v>12</v>
      </c>
      <c r="AZ87" s="87" t="s">
        <v>13</v>
      </c>
      <c r="BA87" s="88" t="s">
        <v>14</v>
      </c>
      <c r="BB87" s="70"/>
      <c r="BC87" s="70"/>
    </row>
    <row r="88" spans="1:55" x14ac:dyDescent="0.35">
      <c r="A88" s="119"/>
      <c r="B88" s="124"/>
      <c r="C88" s="80"/>
      <c r="D88" s="72"/>
      <c r="E88" s="72"/>
      <c r="F88" s="72"/>
      <c r="G88" s="121"/>
      <c r="H88" s="72"/>
      <c r="I88" s="72"/>
      <c r="J88" s="121"/>
      <c r="K88" s="72"/>
      <c r="L88" s="72"/>
      <c r="M88" s="121"/>
      <c r="N88" s="72"/>
      <c r="O88" s="72"/>
      <c r="P88" s="121"/>
      <c r="Q88" s="72"/>
      <c r="R88" s="72"/>
      <c r="S88" s="121"/>
      <c r="T88" s="72"/>
      <c r="U88" s="72"/>
      <c r="V88" s="118"/>
      <c r="W88" s="72"/>
      <c r="X88" s="72"/>
      <c r="Y88" s="121"/>
      <c r="Z88" s="72"/>
      <c r="AA88" s="72"/>
      <c r="AB88" s="121"/>
      <c r="AC88" s="72"/>
      <c r="AD88" s="72"/>
      <c r="AE88" s="121"/>
      <c r="AF88" s="72"/>
      <c r="AG88" s="72"/>
      <c r="AH88" s="121"/>
      <c r="AI88" s="72"/>
      <c r="AJ88" s="72"/>
      <c r="AK88" s="121"/>
      <c r="AL88" s="72"/>
      <c r="AM88" s="72"/>
      <c r="AN88" s="118"/>
      <c r="AO88" s="70"/>
      <c r="AP88" s="89" t="s">
        <v>350</v>
      </c>
      <c r="AQ88" s="70">
        <v>0</v>
      </c>
      <c r="AR88" s="70">
        <v>3</v>
      </c>
      <c r="AS88" s="70">
        <v>3</v>
      </c>
      <c r="AT88" s="70">
        <v>0</v>
      </c>
      <c r="AU88" s="70">
        <v>0.5</v>
      </c>
      <c r="AV88" s="70">
        <v>1.5</v>
      </c>
      <c r="AW88" s="70">
        <v>1.5</v>
      </c>
      <c r="AX88" s="70">
        <v>1</v>
      </c>
      <c r="AY88" s="70">
        <v>0</v>
      </c>
      <c r="AZ88" s="70">
        <v>0</v>
      </c>
      <c r="BA88" s="95">
        <v>1.5</v>
      </c>
      <c r="BB88" s="70"/>
      <c r="BC88" s="70"/>
    </row>
    <row r="89" spans="1:55" x14ac:dyDescent="0.35">
      <c r="A89" s="119"/>
      <c r="B89" s="120"/>
      <c r="C89" s="80"/>
      <c r="D89" s="72"/>
      <c r="E89" s="73"/>
      <c r="F89" s="72"/>
      <c r="G89" s="118"/>
      <c r="H89" s="73"/>
      <c r="I89" s="72"/>
      <c r="J89" s="118"/>
      <c r="K89" s="73"/>
      <c r="L89" s="73"/>
      <c r="M89" s="118"/>
      <c r="N89" s="110"/>
      <c r="O89" s="73"/>
      <c r="P89" s="118"/>
      <c r="Q89" s="111"/>
      <c r="R89" s="73"/>
      <c r="S89" s="118"/>
      <c r="T89" s="73"/>
      <c r="U89" s="73"/>
      <c r="V89" s="118"/>
      <c r="W89" s="72"/>
      <c r="X89" s="72"/>
      <c r="Y89" s="118"/>
      <c r="Z89" s="72"/>
      <c r="AA89" s="72"/>
      <c r="AB89" s="118"/>
      <c r="AC89" s="73"/>
      <c r="AD89" s="73"/>
      <c r="AE89" s="118"/>
      <c r="AF89" s="72"/>
      <c r="AG89" s="73"/>
      <c r="AH89" s="118"/>
      <c r="AI89" s="73"/>
      <c r="AJ89" s="73"/>
      <c r="AK89" s="118"/>
      <c r="AL89" s="72"/>
      <c r="AM89" s="72"/>
      <c r="AN89" s="118"/>
      <c r="AO89" s="70"/>
      <c r="AP89" s="89" t="s">
        <v>333</v>
      </c>
      <c r="AQ89" s="70">
        <v>0.6</v>
      </c>
      <c r="AR89" s="70">
        <v>2</v>
      </c>
      <c r="AS89" s="70">
        <v>2</v>
      </c>
      <c r="AT89" s="70">
        <v>0.6</v>
      </c>
      <c r="AU89" s="70">
        <v>0.6</v>
      </c>
      <c r="AV89" s="70">
        <v>1.3</v>
      </c>
      <c r="AW89" s="70">
        <v>0.9</v>
      </c>
      <c r="AX89" s="70">
        <v>0.7</v>
      </c>
      <c r="AY89" s="70">
        <v>1.7</v>
      </c>
      <c r="AZ89" s="70">
        <v>0.4</v>
      </c>
      <c r="BA89" s="95">
        <v>1.3</v>
      </c>
      <c r="BB89" s="70"/>
      <c r="BC89" s="70"/>
    </row>
    <row r="90" spans="1:55" x14ac:dyDescent="0.35">
      <c r="A90" s="119"/>
      <c r="B90" s="120"/>
      <c r="C90" s="80"/>
      <c r="D90" s="72"/>
      <c r="E90" s="72"/>
      <c r="F90" s="72"/>
      <c r="G90" s="118"/>
      <c r="H90" s="73"/>
      <c r="I90" s="72"/>
      <c r="J90" s="118"/>
      <c r="K90" s="72"/>
      <c r="L90" s="72"/>
      <c r="M90" s="118"/>
      <c r="N90" s="72"/>
      <c r="O90" s="72"/>
      <c r="P90" s="118"/>
      <c r="Q90" s="72"/>
      <c r="R90" s="72"/>
      <c r="S90" s="118"/>
      <c r="T90" s="72"/>
      <c r="U90" s="72"/>
      <c r="V90" s="118"/>
      <c r="W90" s="72"/>
      <c r="X90" s="72"/>
      <c r="Y90" s="118"/>
      <c r="Z90" s="72"/>
      <c r="AA90" s="72"/>
      <c r="AB90" s="118"/>
      <c r="AC90" s="72"/>
      <c r="AD90" s="72"/>
      <c r="AE90" s="118"/>
      <c r="AF90" s="72"/>
      <c r="AG90" s="72"/>
      <c r="AH90" s="118"/>
      <c r="AI90" s="72"/>
      <c r="AJ90" s="72"/>
      <c r="AK90" s="118"/>
      <c r="AL90" s="72"/>
      <c r="AM90" s="72"/>
      <c r="AN90" s="118"/>
      <c r="AO90" s="70"/>
      <c r="AP90" s="89" t="s">
        <v>355</v>
      </c>
      <c r="AQ90" s="70">
        <v>0</v>
      </c>
      <c r="AR90" s="70">
        <v>0.8</v>
      </c>
      <c r="AS90" s="70">
        <v>2.5</v>
      </c>
      <c r="AT90" s="70">
        <v>0.4</v>
      </c>
      <c r="AU90" s="70">
        <v>0.4</v>
      </c>
      <c r="AV90" s="70">
        <v>1.3</v>
      </c>
      <c r="AW90" s="70">
        <v>1</v>
      </c>
      <c r="AX90" s="70">
        <v>1.1000000000000001</v>
      </c>
      <c r="AY90" s="70">
        <v>0.4</v>
      </c>
      <c r="AZ90" s="70">
        <v>0</v>
      </c>
      <c r="BA90" s="95">
        <v>0.4</v>
      </c>
      <c r="BB90" s="70"/>
      <c r="BC90" s="70"/>
    </row>
    <row r="91" spans="1:55" x14ac:dyDescent="0.35">
      <c r="A91" s="119"/>
      <c r="B91" s="120"/>
      <c r="C91" s="80"/>
      <c r="D91" s="72"/>
      <c r="E91" s="72"/>
      <c r="F91" s="72"/>
      <c r="G91" s="118"/>
      <c r="H91" s="72"/>
      <c r="I91" s="72"/>
      <c r="J91" s="118"/>
      <c r="K91" s="73"/>
      <c r="L91" s="73"/>
      <c r="M91" s="118"/>
      <c r="N91" s="110"/>
      <c r="O91" s="73"/>
      <c r="P91" s="118"/>
      <c r="Q91" s="111"/>
      <c r="R91" s="73"/>
      <c r="S91" s="118"/>
      <c r="T91" s="72"/>
      <c r="U91" s="72"/>
      <c r="V91" s="118"/>
      <c r="W91" s="72"/>
      <c r="X91" s="72"/>
      <c r="Y91" s="118"/>
      <c r="Z91" s="72"/>
      <c r="AA91" s="72"/>
      <c r="AB91" s="118"/>
      <c r="AC91" s="72"/>
      <c r="AD91" s="72"/>
      <c r="AE91" s="118"/>
      <c r="AF91" s="72"/>
      <c r="AG91" s="72"/>
      <c r="AH91" s="118"/>
      <c r="AI91" s="72"/>
      <c r="AJ91" s="72"/>
      <c r="AK91" s="118"/>
      <c r="AL91" s="72"/>
      <c r="AM91" s="72"/>
      <c r="AN91" s="118"/>
      <c r="AO91" s="70"/>
      <c r="AP91" s="89" t="s">
        <v>24</v>
      </c>
      <c r="AQ91" s="70">
        <v>2</v>
      </c>
      <c r="AR91" s="70">
        <v>0.7</v>
      </c>
      <c r="AS91" s="70">
        <v>0.7</v>
      </c>
      <c r="AT91" s="70">
        <v>0.3</v>
      </c>
      <c r="AU91" s="70">
        <v>0</v>
      </c>
      <c r="AV91" s="70">
        <v>1.3</v>
      </c>
      <c r="AW91" s="70">
        <v>0.3</v>
      </c>
      <c r="AX91" s="70">
        <v>0.7</v>
      </c>
      <c r="AY91" s="70">
        <v>2.2999999999999998</v>
      </c>
      <c r="AZ91" s="70">
        <v>1</v>
      </c>
      <c r="BA91" s="95">
        <v>2</v>
      </c>
      <c r="BB91" s="70"/>
      <c r="BC91" s="70"/>
    </row>
    <row r="92" spans="1:55" ht="17.25" thickBot="1" x14ac:dyDescent="0.4">
      <c r="A92" s="119" t="s">
        <v>408</v>
      </c>
      <c r="B92" s="80" t="s">
        <v>409</v>
      </c>
      <c r="C92" s="80"/>
      <c r="D92" s="72" t="s">
        <v>2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0"/>
      <c r="AP92" s="96" t="s">
        <v>361</v>
      </c>
      <c r="AQ92" s="97">
        <v>0.3</v>
      </c>
      <c r="AR92" s="97">
        <v>1.7</v>
      </c>
      <c r="AS92" s="97">
        <v>1.3</v>
      </c>
      <c r="AT92" s="97">
        <v>0.7</v>
      </c>
      <c r="AU92" s="97">
        <v>1.3</v>
      </c>
      <c r="AV92" s="97">
        <v>1</v>
      </c>
      <c r="AW92" s="97">
        <v>1</v>
      </c>
      <c r="AX92" s="97">
        <v>0.7</v>
      </c>
      <c r="AY92" s="97">
        <v>2</v>
      </c>
      <c r="AZ92" s="97">
        <v>0.3</v>
      </c>
      <c r="BA92" s="98">
        <v>0</v>
      </c>
      <c r="BB92" s="70"/>
      <c r="BC92" s="70"/>
    </row>
    <row r="93" spans="1:55" x14ac:dyDescent="0.35">
      <c r="A93" s="119"/>
      <c r="B93" s="80" t="s">
        <v>410</v>
      </c>
      <c r="C93" s="80"/>
      <c r="D93" s="72" t="s">
        <v>2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0"/>
      <c r="AP93" s="92" t="s">
        <v>382</v>
      </c>
      <c r="AQ93" s="92">
        <v>0.57999999999999996</v>
      </c>
      <c r="AR93" s="92">
        <v>1.64</v>
      </c>
      <c r="AS93" s="92">
        <v>1.9</v>
      </c>
      <c r="AT93" s="92">
        <v>0.4</v>
      </c>
      <c r="AU93" s="92">
        <v>0.56000000000000005</v>
      </c>
      <c r="AV93" s="92">
        <v>1.28</v>
      </c>
      <c r="AW93" s="92">
        <v>0.94</v>
      </c>
      <c r="AX93" s="92">
        <v>0.84</v>
      </c>
      <c r="AY93" s="92">
        <v>1.28</v>
      </c>
      <c r="AZ93" s="92">
        <v>0.34</v>
      </c>
      <c r="BA93" s="92">
        <v>1.04</v>
      </c>
      <c r="BB93" s="70"/>
      <c r="BC93" s="70"/>
    </row>
    <row r="94" spans="1:55" ht="30" x14ac:dyDescent="0.35">
      <c r="A94" s="119"/>
      <c r="B94" s="80" t="s">
        <v>411</v>
      </c>
      <c r="C94" s="80"/>
      <c r="D94" s="72" t="s">
        <v>2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</row>
    <row r="95" spans="1:55" x14ac:dyDescent="0.35">
      <c r="A95" s="119"/>
      <c r="B95" s="80" t="s">
        <v>412</v>
      </c>
      <c r="C95" s="80"/>
      <c r="D95" s="72" t="s">
        <v>2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</row>
    <row r="96" spans="1:55" x14ac:dyDescent="0.35">
      <c r="A96" s="119"/>
      <c r="B96" s="80" t="s">
        <v>413</v>
      </c>
      <c r="C96" s="80"/>
      <c r="D96" s="72" t="s">
        <v>2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</row>
    <row r="97" spans="1:55" x14ac:dyDescent="0.35">
      <c r="A97" s="119"/>
      <c r="B97" s="80" t="s">
        <v>414</v>
      </c>
      <c r="C97" s="80"/>
      <c r="D97" s="72" t="s">
        <v>2</v>
      </c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</row>
    <row r="98" spans="1:55" x14ac:dyDescent="0.35">
      <c r="A98" s="70"/>
      <c r="B98" s="70"/>
      <c r="C98" s="70"/>
      <c r="D98" s="84"/>
      <c r="E98" s="84"/>
      <c r="F98" s="84"/>
      <c r="G98" s="84"/>
      <c r="H98" s="84"/>
      <c r="I98" s="84"/>
      <c r="J98" s="84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</row>
    <row r="99" spans="1:55" x14ac:dyDescent="0.35">
      <c r="A99" s="70"/>
      <c r="B99" s="70"/>
      <c r="C99" s="70"/>
      <c r="D99" s="84"/>
      <c r="E99" s="84"/>
      <c r="F99" s="84"/>
      <c r="G99" s="84"/>
      <c r="H99" s="84"/>
      <c r="I99" s="84"/>
      <c r="J99" s="84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</row>
    <row r="100" spans="1:55" x14ac:dyDescent="0.35">
      <c r="A100" s="70"/>
      <c r="B100" s="70"/>
      <c r="C100" s="70"/>
      <c r="D100" s="84"/>
      <c r="E100" s="84"/>
      <c r="F100" s="84"/>
      <c r="G100" s="84"/>
      <c r="H100" s="84"/>
      <c r="I100" s="84"/>
      <c r="J100" s="84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</row>
    <row r="101" spans="1:55" x14ac:dyDescent="0.35">
      <c r="A101" s="70" t="s">
        <v>639</v>
      </c>
      <c r="B101" s="112">
        <v>46211</v>
      </c>
      <c r="C101" s="70"/>
      <c r="D101" s="84"/>
      <c r="E101" s="84"/>
      <c r="F101" s="84"/>
      <c r="G101" s="84"/>
      <c r="H101" s="84"/>
      <c r="I101" s="84"/>
      <c r="J101" s="84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</row>
    <row r="102" spans="1:55" x14ac:dyDescent="0.35">
      <c r="A102" s="70"/>
      <c r="B102" s="70"/>
      <c r="C102" s="70"/>
      <c r="D102" s="84"/>
      <c r="E102" s="84"/>
      <c r="F102" s="84"/>
      <c r="G102" s="84"/>
      <c r="H102" s="84"/>
      <c r="I102" s="84"/>
      <c r="J102" s="84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</row>
    <row r="103" spans="1:55" x14ac:dyDescent="0.35">
      <c r="A103" s="70"/>
      <c r="B103" s="70"/>
      <c r="C103" s="70"/>
      <c r="D103" s="84"/>
      <c r="E103" s="84"/>
      <c r="F103" s="84"/>
      <c r="G103" s="84"/>
      <c r="H103" s="84"/>
      <c r="I103" s="84"/>
      <c r="J103" s="84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</row>
    <row r="104" spans="1:55" x14ac:dyDescent="0.35">
      <c r="A104" s="70"/>
      <c r="B104" s="70"/>
      <c r="C104" s="70"/>
      <c r="D104" s="84"/>
      <c r="E104" s="84"/>
      <c r="F104" s="84"/>
      <c r="G104" s="84"/>
      <c r="H104" s="84"/>
      <c r="I104" s="84"/>
      <c r="J104" s="84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</row>
    <row r="105" spans="1:55" x14ac:dyDescent="0.35">
      <c r="A105" s="70"/>
      <c r="B105" s="70"/>
      <c r="C105" s="70"/>
      <c r="D105" s="84"/>
      <c r="E105" s="84"/>
      <c r="F105" s="84"/>
      <c r="G105" s="84"/>
      <c r="H105" s="84"/>
      <c r="I105" s="84"/>
      <c r="J105" s="84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</row>
    <row r="106" spans="1:55" x14ac:dyDescent="0.35">
      <c r="A106" s="70"/>
      <c r="B106" s="70"/>
      <c r="C106" s="70"/>
      <c r="D106" s="84"/>
      <c r="E106" s="84"/>
      <c r="F106" s="84"/>
      <c r="G106" s="84"/>
      <c r="H106" s="84"/>
      <c r="I106" s="84"/>
      <c r="J106" s="84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</row>
    <row r="107" spans="1:55" x14ac:dyDescent="0.35">
      <c r="A107" s="70"/>
      <c r="B107" s="70"/>
      <c r="C107" s="70"/>
      <c r="D107" s="84"/>
      <c r="E107" s="84"/>
      <c r="F107" s="84"/>
      <c r="G107" s="84"/>
      <c r="H107" s="84"/>
      <c r="I107" s="84"/>
      <c r="J107" s="84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</row>
    <row r="108" spans="1:55" x14ac:dyDescent="0.35">
      <c r="A108" s="70"/>
      <c r="B108" s="70"/>
      <c r="C108" s="70"/>
      <c r="D108" s="84"/>
      <c r="E108" s="84"/>
      <c r="F108" s="84"/>
      <c r="G108" s="84"/>
      <c r="H108" s="84"/>
      <c r="I108" s="84"/>
      <c r="J108" s="84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</row>
    <row r="109" spans="1:55" x14ac:dyDescent="0.35">
      <c r="A109" s="70"/>
      <c r="B109" s="70"/>
      <c r="C109" s="70"/>
      <c r="D109" s="84"/>
      <c r="E109" s="84"/>
      <c r="F109" s="84"/>
      <c r="G109" s="84"/>
      <c r="H109" s="84"/>
      <c r="I109" s="84"/>
      <c r="J109" s="84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</row>
    <row r="110" spans="1:55" x14ac:dyDescent="0.35">
      <c r="A110" s="70"/>
      <c r="B110" s="70"/>
      <c r="C110" s="70"/>
      <c r="D110" s="84"/>
      <c r="E110" s="84"/>
      <c r="F110" s="84"/>
      <c r="G110" s="84"/>
      <c r="H110" s="84"/>
      <c r="I110" s="84"/>
      <c r="J110" s="84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</row>
    <row r="111" spans="1:55" x14ac:dyDescent="0.35">
      <c r="A111" s="70"/>
      <c r="B111" s="70"/>
      <c r="C111" s="70"/>
      <c r="D111" s="84"/>
      <c r="E111" s="84"/>
      <c r="F111" s="84"/>
      <c r="G111" s="84"/>
      <c r="H111" s="84"/>
      <c r="I111" s="84"/>
      <c r="J111" s="84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</row>
    <row r="112" spans="1:55" x14ac:dyDescent="0.35">
      <c r="A112" s="70"/>
      <c r="B112" s="70"/>
      <c r="C112" s="70"/>
      <c r="D112" s="84"/>
      <c r="E112" s="84"/>
      <c r="F112" s="84"/>
      <c r="G112" s="84"/>
      <c r="H112" s="84"/>
      <c r="I112" s="84"/>
      <c r="J112" s="84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</row>
    <row r="113" spans="1:55" x14ac:dyDescent="0.35">
      <c r="A113" s="70"/>
      <c r="B113" s="70"/>
      <c r="C113" s="70"/>
      <c r="D113" s="84"/>
      <c r="E113" s="84"/>
      <c r="F113" s="84"/>
      <c r="G113" s="84"/>
      <c r="H113" s="84"/>
      <c r="I113" s="84"/>
      <c r="J113" s="84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</row>
    <row r="114" spans="1:55" x14ac:dyDescent="0.35">
      <c r="A114" s="70"/>
      <c r="B114" s="70"/>
      <c r="C114" s="70"/>
      <c r="D114" s="84"/>
      <c r="E114" s="84"/>
      <c r="F114" s="84"/>
      <c r="G114" s="84"/>
      <c r="H114" s="84"/>
      <c r="I114" s="84"/>
      <c r="J114" s="84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</row>
    <row r="115" spans="1:55" x14ac:dyDescent="0.35">
      <c r="A115" s="70"/>
      <c r="B115" s="70"/>
      <c r="C115" s="70"/>
      <c r="D115" s="84"/>
      <c r="E115" s="84"/>
      <c r="F115" s="84"/>
      <c r="G115" s="84"/>
      <c r="H115" s="84"/>
      <c r="I115" s="84"/>
      <c r="J115" s="84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</row>
    <row r="116" spans="1:55" x14ac:dyDescent="0.35">
      <c r="A116" s="70"/>
      <c r="B116" s="70"/>
      <c r="C116" s="70"/>
      <c r="D116" s="84"/>
      <c r="E116" s="84"/>
      <c r="F116" s="84"/>
      <c r="G116" s="84"/>
      <c r="H116" s="84"/>
      <c r="I116" s="84"/>
      <c r="J116" s="84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</row>
    <row r="117" spans="1:55" x14ac:dyDescent="0.35">
      <c r="A117" s="70"/>
      <c r="B117" s="70"/>
      <c r="C117" s="70"/>
      <c r="D117" s="84"/>
      <c r="E117" s="84"/>
      <c r="F117" s="84"/>
      <c r="G117" s="84"/>
      <c r="H117" s="84"/>
      <c r="I117" s="84"/>
      <c r="J117" s="84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</row>
    <row r="118" spans="1:55" x14ac:dyDescent="0.35">
      <c r="A118" s="70"/>
      <c r="B118" s="70"/>
      <c r="C118" s="70"/>
      <c r="D118" s="84"/>
      <c r="E118" s="84"/>
      <c r="F118" s="84"/>
      <c r="G118" s="84"/>
      <c r="H118" s="84"/>
      <c r="I118" s="84"/>
      <c r="J118" s="84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</row>
    <row r="119" spans="1:55" x14ac:dyDescent="0.35">
      <c r="A119" s="70"/>
      <c r="B119" s="70"/>
      <c r="C119" s="70"/>
      <c r="D119" s="84"/>
      <c r="E119" s="84"/>
      <c r="F119" s="84"/>
      <c r="G119" s="84"/>
      <c r="H119" s="84"/>
      <c r="I119" s="84"/>
      <c r="J119" s="84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</row>
    <row r="120" spans="1:55" x14ac:dyDescent="0.35">
      <c r="A120" s="70"/>
      <c r="B120" s="70"/>
      <c r="C120" s="70"/>
      <c r="D120" s="84"/>
      <c r="E120" s="84"/>
      <c r="F120" s="84"/>
      <c r="G120" s="84"/>
      <c r="H120" s="84"/>
      <c r="I120" s="84"/>
      <c r="J120" s="84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</row>
    <row r="121" spans="1:55" x14ac:dyDescent="0.35">
      <c r="A121" s="70"/>
      <c r="B121" s="70"/>
      <c r="C121" s="70"/>
      <c r="D121" s="84"/>
      <c r="E121" s="84"/>
      <c r="F121" s="84"/>
      <c r="G121" s="84"/>
      <c r="H121" s="84"/>
      <c r="I121" s="84"/>
      <c r="J121" s="84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</row>
    <row r="122" spans="1:55" x14ac:dyDescent="0.35">
      <c r="A122" s="70"/>
      <c r="B122" s="70"/>
      <c r="C122" s="70"/>
      <c r="D122" s="84"/>
      <c r="E122" s="84"/>
      <c r="F122" s="84"/>
      <c r="G122" s="84"/>
      <c r="H122" s="84"/>
      <c r="I122" s="84"/>
      <c r="J122" s="84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</row>
    <row r="123" spans="1:55" x14ac:dyDescent="0.35">
      <c r="A123" s="70"/>
      <c r="B123" s="70"/>
      <c r="C123" s="70"/>
      <c r="D123" s="84"/>
      <c r="E123" s="84"/>
      <c r="F123" s="84"/>
      <c r="G123" s="84"/>
      <c r="H123" s="84"/>
      <c r="I123" s="84"/>
      <c r="J123" s="84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</row>
    <row r="124" spans="1:55" x14ac:dyDescent="0.35">
      <c r="A124" s="70"/>
      <c r="B124" s="70"/>
      <c r="C124" s="70"/>
      <c r="D124" s="84"/>
      <c r="E124" s="84"/>
      <c r="F124" s="84"/>
      <c r="G124" s="84"/>
      <c r="H124" s="84"/>
      <c r="I124" s="84"/>
      <c r="J124" s="84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</row>
    <row r="125" spans="1:55" x14ac:dyDescent="0.35">
      <c r="A125" s="70"/>
      <c r="B125" s="70"/>
      <c r="C125" s="70"/>
      <c r="D125" s="84"/>
      <c r="E125" s="84"/>
      <c r="F125" s="84"/>
      <c r="G125" s="84"/>
      <c r="H125" s="84"/>
      <c r="I125" s="84"/>
      <c r="J125" s="84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</row>
    <row r="126" spans="1:55" x14ac:dyDescent="0.35">
      <c r="A126" s="70"/>
      <c r="B126" s="70"/>
      <c r="C126" s="70"/>
      <c r="D126" s="84"/>
      <c r="E126" s="84"/>
      <c r="F126" s="84"/>
      <c r="G126" s="84"/>
      <c r="H126" s="84"/>
      <c r="I126" s="84"/>
      <c r="J126" s="84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</row>
    <row r="127" spans="1:55" x14ac:dyDescent="0.35">
      <c r="A127" s="70"/>
      <c r="B127" s="70"/>
      <c r="C127" s="70"/>
      <c r="D127" s="84"/>
      <c r="E127" s="84"/>
      <c r="F127" s="84"/>
      <c r="G127" s="84"/>
      <c r="H127" s="84"/>
      <c r="I127" s="84"/>
      <c r="J127" s="84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</row>
    <row r="128" spans="1:55" x14ac:dyDescent="0.35">
      <c r="A128" s="70"/>
      <c r="B128" s="70"/>
      <c r="C128" s="70"/>
      <c r="D128" s="84"/>
      <c r="E128" s="84"/>
      <c r="F128" s="84"/>
      <c r="G128" s="84"/>
      <c r="H128" s="84"/>
      <c r="I128" s="84"/>
      <c r="J128" s="84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  <c r="BC128" s="70"/>
    </row>
    <row r="129" spans="1:55" x14ac:dyDescent="0.35">
      <c r="A129" s="70"/>
      <c r="B129" s="70"/>
      <c r="C129" s="70"/>
      <c r="D129" s="84"/>
      <c r="E129" s="84"/>
      <c r="F129" s="84"/>
      <c r="G129" s="84"/>
      <c r="H129" s="84"/>
      <c r="I129" s="84"/>
      <c r="J129" s="84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70"/>
    </row>
  </sheetData>
  <mergeCells count="186">
    <mergeCell ref="X1:Y1"/>
    <mergeCell ref="AA1:AB1"/>
    <mergeCell ref="AD1:AE1"/>
    <mergeCell ref="AG1:AH1"/>
    <mergeCell ref="AJ1:AK1"/>
    <mergeCell ref="AM1:AN1"/>
    <mergeCell ref="F1:G1"/>
    <mergeCell ref="I1:J1"/>
    <mergeCell ref="L1:M1"/>
    <mergeCell ref="O1:P1"/>
    <mergeCell ref="R1:S1"/>
    <mergeCell ref="U1:V1"/>
    <mergeCell ref="AK3:AK8"/>
    <mergeCell ref="AN3:AN8"/>
    <mergeCell ref="B9:B17"/>
    <mergeCell ref="G9:G17"/>
    <mergeCell ref="J9:J17"/>
    <mergeCell ref="M9:M17"/>
    <mergeCell ref="P9:P17"/>
    <mergeCell ref="S9:S17"/>
    <mergeCell ref="V9:V17"/>
    <mergeCell ref="Y9:Y17"/>
    <mergeCell ref="S3:S8"/>
    <mergeCell ref="V3:V8"/>
    <mergeCell ref="Y3:Y8"/>
    <mergeCell ref="AB3:AB8"/>
    <mergeCell ref="AE3:AE8"/>
    <mergeCell ref="AH3:AH8"/>
    <mergeCell ref="B3:B8"/>
    <mergeCell ref="G3:G8"/>
    <mergeCell ref="J3:J8"/>
    <mergeCell ref="M3:M8"/>
    <mergeCell ref="P3:P8"/>
    <mergeCell ref="AB9:AB17"/>
    <mergeCell ref="AE9:AE17"/>
    <mergeCell ref="AH9:AH17"/>
    <mergeCell ref="AK9:AK17"/>
    <mergeCell ref="AN9:AN17"/>
    <mergeCell ref="G18:G29"/>
    <mergeCell ref="J18:J29"/>
    <mergeCell ref="M18:M29"/>
    <mergeCell ref="P18:P29"/>
    <mergeCell ref="AB31:AB41"/>
    <mergeCell ref="AE31:AE41"/>
    <mergeCell ref="AH31:AH41"/>
    <mergeCell ref="AK31:AK41"/>
    <mergeCell ref="AN31:AN41"/>
    <mergeCell ref="AN46:AN57"/>
    <mergeCell ref="P46:P57"/>
    <mergeCell ref="S46:S57"/>
    <mergeCell ref="V46:V57"/>
    <mergeCell ref="Y46:Y57"/>
    <mergeCell ref="AB46:AB57"/>
    <mergeCell ref="AE46:AE57"/>
    <mergeCell ref="B42:B45"/>
    <mergeCell ref="AK18:AK29"/>
    <mergeCell ref="AN18:AN29"/>
    <mergeCell ref="G31:G41"/>
    <mergeCell ref="J31:J41"/>
    <mergeCell ref="M31:M41"/>
    <mergeCell ref="P31:P41"/>
    <mergeCell ref="S31:S41"/>
    <mergeCell ref="V31:V41"/>
    <mergeCell ref="Y31:Y41"/>
    <mergeCell ref="S18:S29"/>
    <mergeCell ref="V18:V29"/>
    <mergeCell ref="Y18:Y29"/>
    <mergeCell ref="AB18:AB29"/>
    <mergeCell ref="AE18:AE29"/>
    <mergeCell ref="AH18:AH29"/>
    <mergeCell ref="AN58:AN63"/>
    <mergeCell ref="B64:B65"/>
    <mergeCell ref="G64:G65"/>
    <mergeCell ref="J64:J65"/>
    <mergeCell ref="M64:M65"/>
    <mergeCell ref="P64:P65"/>
    <mergeCell ref="S64:S65"/>
    <mergeCell ref="V64:V65"/>
    <mergeCell ref="Y64:Y65"/>
    <mergeCell ref="AB64:AB65"/>
    <mergeCell ref="V58:V63"/>
    <mergeCell ref="Y58:Y63"/>
    <mergeCell ref="AB58:AB63"/>
    <mergeCell ref="AE58:AE63"/>
    <mergeCell ref="AH58:AH63"/>
    <mergeCell ref="AK58:AK63"/>
    <mergeCell ref="B58:B63"/>
    <mergeCell ref="G58:G63"/>
    <mergeCell ref="J58:J63"/>
    <mergeCell ref="M58:M63"/>
    <mergeCell ref="P58:P63"/>
    <mergeCell ref="S58:S63"/>
    <mergeCell ref="AE64:AE65"/>
    <mergeCell ref="AH64:AH65"/>
    <mergeCell ref="AN64:AN65"/>
    <mergeCell ref="B66:B68"/>
    <mergeCell ref="G66:G68"/>
    <mergeCell ref="J66:J68"/>
    <mergeCell ref="M66:M68"/>
    <mergeCell ref="P66:P68"/>
    <mergeCell ref="S66:S68"/>
    <mergeCell ref="AN66:AN68"/>
    <mergeCell ref="V66:V68"/>
    <mergeCell ref="Y66:Y68"/>
    <mergeCell ref="AB66:AB68"/>
    <mergeCell ref="AE66:AE68"/>
    <mergeCell ref="AH66:AH68"/>
    <mergeCell ref="AK66:AK68"/>
    <mergeCell ref="A3:A68"/>
    <mergeCell ref="B46:B57"/>
    <mergeCell ref="G46:G57"/>
    <mergeCell ref="J46:J57"/>
    <mergeCell ref="M46:M57"/>
    <mergeCell ref="AB69:AB70"/>
    <mergeCell ref="AE69:AE70"/>
    <mergeCell ref="AH69:AH70"/>
    <mergeCell ref="AK69:AK70"/>
    <mergeCell ref="B30:B41"/>
    <mergeCell ref="B26:B29"/>
    <mergeCell ref="B18:B23"/>
    <mergeCell ref="A69:A91"/>
    <mergeCell ref="B69:B70"/>
    <mergeCell ref="G69:G70"/>
    <mergeCell ref="J69:J70"/>
    <mergeCell ref="M69:M70"/>
    <mergeCell ref="P69:P70"/>
    <mergeCell ref="S69:S70"/>
    <mergeCell ref="V69:V70"/>
    <mergeCell ref="Y69:Y70"/>
    <mergeCell ref="AK64:AK65"/>
    <mergeCell ref="AH46:AH57"/>
    <mergeCell ref="AK46:AK57"/>
    <mergeCell ref="AN69:AN70"/>
    <mergeCell ref="B71:B77"/>
    <mergeCell ref="G71:G77"/>
    <mergeCell ref="J71:J77"/>
    <mergeCell ref="M71:M77"/>
    <mergeCell ref="P71:P77"/>
    <mergeCell ref="AK71:AK77"/>
    <mergeCell ref="AN71:AN77"/>
    <mergeCell ref="B78:B85"/>
    <mergeCell ref="G78:G85"/>
    <mergeCell ref="J78:J85"/>
    <mergeCell ref="M78:M85"/>
    <mergeCell ref="P78:P85"/>
    <mergeCell ref="S78:S85"/>
    <mergeCell ref="V78:V85"/>
    <mergeCell ref="Y78:Y85"/>
    <mergeCell ref="S71:S77"/>
    <mergeCell ref="V71:V77"/>
    <mergeCell ref="Y71:Y77"/>
    <mergeCell ref="AB71:AB77"/>
    <mergeCell ref="AE71:AE77"/>
    <mergeCell ref="AH71:AH77"/>
    <mergeCell ref="AB78:AB85"/>
    <mergeCell ref="AE78:AE85"/>
    <mergeCell ref="AH78:AH85"/>
    <mergeCell ref="AK78:AK85"/>
    <mergeCell ref="AN78:AN85"/>
    <mergeCell ref="B86:B88"/>
    <mergeCell ref="G86:G88"/>
    <mergeCell ref="J86:J88"/>
    <mergeCell ref="M86:M88"/>
    <mergeCell ref="P86:P88"/>
    <mergeCell ref="AB89:AB91"/>
    <mergeCell ref="AE89:AE91"/>
    <mergeCell ref="AH89:AH91"/>
    <mergeCell ref="AK89:AK91"/>
    <mergeCell ref="AN89:AN91"/>
    <mergeCell ref="A92:A97"/>
    <mergeCell ref="AK86:AK88"/>
    <mergeCell ref="AN86:AN88"/>
    <mergeCell ref="B89:B91"/>
    <mergeCell ref="G89:G91"/>
    <mergeCell ref="J89:J91"/>
    <mergeCell ref="M89:M91"/>
    <mergeCell ref="P89:P91"/>
    <mergeCell ref="S89:S91"/>
    <mergeCell ref="V89:V91"/>
    <mergeCell ref="Y89:Y91"/>
    <mergeCell ref="S86:S88"/>
    <mergeCell ref="V86:V88"/>
    <mergeCell ref="Y86:Y88"/>
    <mergeCell ref="AB86:AB88"/>
    <mergeCell ref="AE86:AE88"/>
    <mergeCell ref="AH86:AH88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477E-C459-47AD-886F-184C0FCBF78F}">
  <dimension ref="A1:AZ136"/>
  <sheetViews>
    <sheetView tabSelected="1" zoomScaleNormal="100" workbookViewId="0">
      <pane xSplit="7" ySplit="1" topLeftCell="H4" activePane="bottomRight" state="frozen"/>
      <selection pane="topRight" activeCell="H1" sqref="H1"/>
      <selection pane="bottomLeft" activeCell="A2" sqref="A2"/>
      <selection pane="bottomRight" activeCell="E80" sqref="E80:E81"/>
    </sheetView>
  </sheetViews>
  <sheetFormatPr defaultColWidth="9" defaultRowHeight="16.5" x14ac:dyDescent="0.35"/>
  <cols>
    <col min="1" max="1" width="13.28515625" style="9" customWidth="1"/>
    <col min="2" max="2" width="13.7109375" style="9" customWidth="1"/>
    <col min="3" max="3" width="31.85546875" style="9" customWidth="1"/>
    <col min="4" max="4" width="9" style="14"/>
    <col min="5" max="5" width="13.140625" style="14" bestFit="1" customWidth="1"/>
    <col min="6" max="6" width="4.42578125" style="14" bestFit="1" customWidth="1"/>
    <col min="7" max="7" width="4.42578125" style="14" customWidth="1"/>
    <col min="8" max="8" width="15.85546875" style="14" customWidth="1"/>
    <col min="9" max="9" width="4.42578125" style="14" bestFit="1" customWidth="1"/>
    <col min="10" max="10" width="4.42578125" style="14" customWidth="1"/>
    <col min="11" max="11" width="15.7109375" style="9" customWidth="1"/>
    <col min="12" max="12" width="4.42578125" style="9" bestFit="1" customWidth="1"/>
    <col min="13" max="13" width="4.42578125" style="9" customWidth="1"/>
    <col min="14" max="14" width="17" style="9" customWidth="1"/>
    <col min="15" max="15" width="4.42578125" style="9" bestFit="1" customWidth="1"/>
    <col min="16" max="16" width="4.42578125" style="9" customWidth="1"/>
    <col min="17" max="17" width="13.140625" style="9" bestFit="1" customWidth="1"/>
    <col min="18" max="18" width="4.42578125" style="9" bestFit="1" customWidth="1"/>
    <col min="19" max="19" width="4.42578125" style="9" customWidth="1"/>
    <col min="20" max="20" width="13.5703125" style="9" customWidth="1"/>
    <col min="21" max="21" width="4.42578125" style="9" bestFit="1" customWidth="1"/>
    <col min="22" max="22" width="4.42578125" style="9" customWidth="1"/>
    <col min="23" max="23" width="12.7109375" style="9" bestFit="1" customWidth="1"/>
    <col min="24" max="24" width="4.42578125" style="9" bestFit="1" customWidth="1"/>
    <col min="25" max="25" width="4.42578125" style="9" customWidth="1"/>
    <col min="26" max="26" width="13.5703125" style="9" bestFit="1" customWidth="1"/>
    <col min="27" max="27" width="4.42578125" style="9" bestFit="1" customWidth="1"/>
    <col min="28" max="28" width="4.42578125" style="9" customWidth="1"/>
    <col min="29" max="29" width="12.5703125" style="9" bestFit="1" customWidth="1"/>
    <col min="30" max="30" width="4.42578125" style="9" bestFit="1" customWidth="1"/>
    <col min="31" max="31" width="4.42578125" style="9" customWidth="1"/>
    <col min="32" max="32" width="13.140625" style="9" bestFit="1" customWidth="1"/>
    <col min="33" max="33" width="4.42578125" style="9" bestFit="1" customWidth="1"/>
    <col min="34" max="34" width="4.42578125" style="9" customWidth="1"/>
    <col min="35" max="35" width="12.5703125" style="9" customWidth="1"/>
    <col min="36" max="37" width="4.42578125" style="9" bestFit="1" customWidth="1"/>
    <col min="38" max="38" width="10.28515625" style="9" customWidth="1"/>
    <col min="39" max="16384" width="9" style="9"/>
  </cols>
  <sheetData>
    <row r="1" spans="1:52" ht="34.5" customHeight="1" x14ac:dyDescent="0.35">
      <c r="A1" s="76" t="s">
        <v>313</v>
      </c>
      <c r="B1" s="76" t="s">
        <v>314</v>
      </c>
      <c r="C1" s="77" t="s">
        <v>315</v>
      </c>
      <c r="D1" s="78" t="s">
        <v>316</v>
      </c>
      <c r="E1" s="78" t="s">
        <v>733</v>
      </c>
      <c r="F1" s="134" t="s">
        <v>317</v>
      </c>
      <c r="G1" s="135"/>
      <c r="H1" s="78" t="s">
        <v>676</v>
      </c>
      <c r="I1" s="134" t="s">
        <v>317</v>
      </c>
      <c r="J1" s="135"/>
      <c r="K1" s="78" t="s">
        <v>679</v>
      </c>
      <c r="L1" s="134" t="s">
        <v>317</v>
      </c>
      <c r="M1" s="135"/>
      <c r="N1" s="78" t="s">
        <v>682</v>
      </c>
      <c r="O1" s="134" t="s">
        <v>317</v>
      </c>
      <c r="P1" s="135"/>
      <c r="Q1" s="78" t="s">
        <v>684</v>
      </c>
      <c r="R1" s="134" t="s">
        <v>317</v>
      </c>
      <c r="S1" s="135"/>
      <c r="T1" s="78" t="s">
        <v>688</v>
      </c>
      <c r="U1" s="134" t="s">
        <v>317</v>
      </c>
      <c r="V1" s="135"/>
      <c r="W1" s="78" t="s">
        <v>689</v>
      </c>
      <c r="X1" s="134" t="s">
        <v>317</v>
      </c>
      <c r="Y1" s="135"/>
      <c r="Z1" s="78"/>
      <c r="AA1" s="134" t="s">
        <v>317</v>
      </c>
      <c r="AB1" s="135"/>
      <c r="AC1" s="78"/>
      <c r="AD1" s="134" t="s">
        <v>317</v>
      </c>
      <c r="AE1" s="135"/>
      <c r="AF1" s="78"/>
      <c r="AG1" s="134" t="s">
        <v>317</v>
      </c>
      <c r="AH1" s="135"/>
      <c r="AI1" s="78"/>
      <c r="AJ1" s="134" t="s">
        <v>317</v>
      </c>
      <c r="AK1" s="135"/>
      <c r="AL1" s="70"/>
      <c r="AM1" s="79" t="s">
        <v>318</v>
      </c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</row>
    <row r="2" spans="1:52" s="61" customFormat="1" ht="30" x14ac:dyDescent="0.35">
      <c r="A2" s="99" t="s">
        <v>557</v>
      </c>
      <c r="B2" s="101" t="s">
        <v>559</v>
      </c>
      <c r="C2" s="101" t="s">
        <v>573</v>
      </c>
      <c r="D2" s="101" t="s">
        <v>558</v>
      </c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90"/>
      <c r="AM2" s="10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</row>
    <row r="3" spans="1:52" ht="15" customHeight="1" x14ac:dyDescent="0.35">
      <c r="A3" s="136" t="s">
        <v>319</v>
      </c>
      <c r="B3" s="126" t="s">
        <v>320</v>
      </c>
      <c r="C3" s="80" t="s">
        <v>527</v>
      </c>
      <c r="D3" s="80" t="s">
        <v>0</v>
      </c>
      <c r="E3" s="80"/>
      <c r="F3" s="80"/>
      <c r="G3" s="130"/>
      <c r="H3" s="117"/>
      <c r="I3" s="80"/>
      <c r="J3" s="130"/>
      <c r="K3" s="72"/>
      <c r="L3" s="72"/>
      <c r="M3" s="122"/>
      <c r="N3" s="72"/>
      <c r="O3" s="72"/>
      <c r="P3" s="122"/>
      <c r="Q3" s="72"/>
      <c r="R3" s="72"/>
      <c r="S3" s="122"/>
      <c r="T3" s="72"/>
      <c r="U3" s="72"/>
      <c r="V3" s="122"/>
      <c r="W3" s="72"/>
      <c r="X3" s="72"/>
      <c r="Y3" s="122"/>
      <c r="Z3" s="72"/>
      <c r="AA3" s="72"/>
      <c r="AB3" s="122"/>
      <c r="AC3" s="72"/>
      <c r="AD3" s="72"/>
      <c r="AE3" s="122"/>
      <c r="AF3" s="72"/>
      <c r="AG3" s="72"/>
      <c r="AH3" s="122"/>
      <c r="AI3" s="72"/>
      <c r="AJ3" s="72"/>
      <c r="AK3" s="122"/>
      <c r="AL3" s="70" t="s">
        <v>320</v>
      </c>
      <c r="AM3" s="81" t="s">
        <v>322</v>
      </c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</row>
    <row r="4" spans="1:52" ht="15" customHeight="1" x14ac:dyDescent="0.35">
      <c r="A4" s="137"/>
      <c r="B4" s="126"/>
      <c r="C4" s="80" t="s">
        <v>734</v>
      </c>
      <c r="D4" s="80" t="s">
        <v>0</v>
      </c>
      <c r="E4" s="80"/>
      <c r="F4" s="80"/>
      <c r="G4" s="133"/>
      <c r="H4" s="117"/>
      <c r="I4" s="80"/>
      <c r="J4" s="133"/>
      <c r="K4" s="72"/>
      <c r="L4" s="72"/>
      <c r="M4" s="118"/>
      <c r="N4" s="72"/>
      <c r="O4" s="72"/>
      <c r="P4" s="118"/>
      <c r="Q4" s="72"/>
      <c r="R4" s="72"/>
      <c r="S4" s="118"/>
      <c r="T4" s="72"/>
      <c r="U4" s="72"/>
      <c r="V4" s="118"/>
      <c r="W4" s="72"/>
      <c r="X4" s="72"/>
      <c r="Y4" s="118"/>
      <c r="Z4" s="72"/>
      <c r="AA4" s="72"/>
      <c r="AB4" s="118"/>
      <c r="AC4" s="72"/>
      <c r="AD4" s="72"/>
      <c r="AE4" s="118"/>
      <c r="AF4" s="72"/>
      <c r="AG4" s="72"/>
      <c r="AH4" s="118"/>
      <c r="AI4" s="72"/>
      <c r="AJ4" s="72"/>
      <c r="AK4" s="118"/>
      <c r="AL4" s="70"/>
      <c r="AM4" s="81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</row>
    <row r="5" spans="1:52" ht="15" customHeight="1" x14ac:dyDescent="0.35">
      <c r="A5" s="137"/>
      <c r="B5" s="126"/>
      <c r="C5" s="80" t="s">
        <v>744</v>
      </c>
      <c r="D5" s="80" t="s">
        <v>0</v>
      </c>
      <c r="E5" s="80">
        <v>2900</v>
      </c>
      <c r="F5" s="80"/>
      <c r="G5" s="133"/>
      <c r="H5" s="117"/>
      <c r="I5" s="80"/>
      <c r="J5" s="133"/>
      <c r="K5" s="72"/>
      <c r="L5" s="72"/>
      <c r="M5" s="118"/>
      <c r="N5" s="72"/>
      <c r="O5" s="72"/>
      <c r="P5" s="118"/>
      <c r="Q5" s="72"/>
      <c r="R5" s="72"/>
      <c r="S5" s="118"/>
      <c r="T5" s="72"/>
      <c r="U5" s="72"/>
      <c r="V5" s="118"/>
      <c r="W5" s="72"/>
      <c r="X5" s="72"/>
      <c r="Y5" s="118"/>
      <c r="Z5" s="72"/>
      <c r="AA5" s="72"/>
      <c r="AB5" s="118"/>
      <c r="AC5" s="72"/>
      <c r="AD5" s="72"/>
      <c r="AE5" s="118"/>
      <c r="AF5" s="72"/>
      <c r="AG5" s="72"/>
      <c r="AH5" s="118"/>
      <c r="AI5" s="72"/>
      <c r="AJ5" s="72"/>
      <c r="AK5" s="118"/>
      <c r="AL5" s="70"/>
      <c r="AM5" s="81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</row>
    <row r="6" spans="1:52" ht="15" customHeight="1" x14ac:dyDescent="0.35">
      <c r="A6" s="137"/>
      <c r="B6" s="126"/>
      <c r="C6" s="80" t="s">
        <v>743</v>
      </c>
      <c r="D6" s="80" t="s">
        <v>0</v>
      </c>
      <c r="E6" s="80"/>
      <c r="F6" s="80"/>
      <c r="G6" s="133"/>
      <c r="H6" s="117"/>
      <c r="I6" s="80"/>
      <c r="J6" s="133"/>
      <c r="K6" s="72"/>
      <c r="L6" s="72"/>
      <c r="M6" s="118"/>
      <c r="N6" s="72"/>
      <c r="O6" s="72"/>
      <c r="P6" s="118"/>
      <c r="Q6" s="72"/>
      <c r="R6" s="72"/>
      <c r="S6" s="118"/>
      <c r="T6" s="72"/>
      <c r="U6" s="72"/>
      <c r="V6" s="118"/>
      <c r="W6" s="72"/>
      <c r="X6" s="72"/>
      <c r="Y6" s="118"/>
      <c r="Z6" s="72"/>
      <c r="AA6" s="72"/>
      <c r="AB6" s="118"/>
      <c r="AC6" s="72"/>
      <c r="AD6" s="72"/>
      <c r="AE6" s="118"/>
      <c r="AF6" s="72"/>
      <c r="AG6" s="72"/>
      <c r="AH6" s="118"/>
      <c r="AI6" s="72"/>
      <c r="AJ6" s="72"/>
      <c r="AK6" s="118"/>
      <c r="AL6" s="70"/>
      <c r="AM6" s="81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</row>
    <row r="7" spans="1:52" ht="15" customHeight="1" x14ac:dyDescent="0.35">
      <c r="A7" s="137"/>
      <c r="B7" s="126"/>
      <c r="C7" s="80" t="s">
        <v>735</v>
      </c>
      <c r="D7" s="80" t="s">
        <v>0</v>
      </c>
      <c r="E7" s="80"/>
      <c r="F7" s="80"/>
      <c r="G7" s="133"/>
      <c r="H7" s="117"/>
      <c r="I7" s="80"/>
      <c r="J7" s="133"/>
      <c r="K7" s="72"/>
      <c r="L7" s="72"/>
      <c r="M7" s="118"/>
      <c r="N7" s="72"/>
      <c r="O7" s="72"/>
      <c r="P7" s="118"/>
      <c r="Q7" s="72"/>
      <c r="R7" s="72"/>
      <c r="S7" s="118"/>
      <c r="T7" s="72"/>
      <c r="U7" s="72"/>
      <c r="V7" s="118"/>
      <c r="W7" s="72"/>
      <c r="X7" s="72"/>
      <c r="Y7" s="118"/>
      <c r="Z7" s="72"/>
      <c r="AA7" s="72"/>
      <c r="AB7" s="118"/>
      <c r="AC7" s="72"/>
      <c r="AD7" s="72"/>
      <c r="AE7" s="118"/>
      <c r="AF7" s="72"/>
      <c r="AG7" s="72"/>
      <c r="AH7" s="118"/>
      <c r="AI7" s="72"/>
      <c r="AJ7" s="72"/>
      <c r="AK7" s="118"/>
      <c r="AL7" s="70"/>
      <c r="AM7" s="81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</row>
    <row r="8" spans="1:52" ht="15" customHeight="1" x14ac:dyDescent="0.35">
      <c r="A8" s="137"/>
      <c r="B8" s="126"/>
      <c r="C8" s="80" t="s">
        <v>736</v>
      </c>
      <c r="D8" s="80" t="s">
        <v>0</v>
      </c>
      <c r="E8" s="80"/>
      <c r="F8" s="80"/>
      <c r="G8" s="133"/>
      <c r="H8" s="117"/>
      <c r="I8" s="80"/>
      <c r="J8" s="133"/>
      <c r="K8" s="72"/>
      <c r="L8" s="72"/>
      <c r="M8" s="118"/>
      <c r="N8" s="72"/>
      <c r="O8" s="72"/>
      <c r="P8" s="118"/>
      <c r="Q8" s="72"/>
      <c r="R8" s="72"/>
      <c r="S8" s="118"/>
      <c r="T8" s="72"/>
      <c r="U8" s="72"/>
      <c r="V8" s="118"/>
      <c r="W8" s="72"/>
      <c r="X8" s="72"/>
      <c r="Y8" s="118"/>
      <c r="Z8" s="72"/>
      <c r="AA8" s="72"/>
      <c r="AB8" s="118"/>
      <c r="AC8" s="72"/>
      <c r="AD8" s="72"/>
      <c r="AE8" s="118"/>
      <c r="AF8" s="72"/>
      <c r="AG8" s="72"/>
      <c r="AH8" s="118"/>
      <c r="AI8" s="72"/>
      <c r="AJ8" s="72"/>
      <c r="AK8" s="118"/>
      <c r="AL8" s="70"/>
      <c r="AM8" s="81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</row>
    <row r="9" spans="1:52" ht="13.9" customHeight="1" x14ac:dyDescent="0.35">
      <c r="A9" s="137"/>
      <c r="B9" s="126"/>
      <c r="C9" s="80" t="s">
        <v>323</v>
      </c>
      <c r="D9" s="80" t="s">
        <v>1</v>
      </c>
      <c r="E9" s="80">
        <v>3000</v>
      </c>
      <c r="F9" s="80"/>
      <c r="G9" s="133"/>
      <c r="H9" s="80"/>
      <c r="I9" s="80"/>
      <c r="J9" s="133"/>
      <c r="K9" s="72"/>
      <c r="L9" s="72"/>
      <c r="M9" s="118"/>
      <c r="N9" s="72"/>
      <c r="O9" s="72"/>
      <c r="P9" s="118"/>
      <c r="Q9" s="72"/>
      <c r="R9" s="72"/>
      <c r="S9" s="118"/>
      <c r="T9" s="72"/>
      <c r="U9" s="72"/>
      <c r="V9" s="118"/>
      <c r="W9" s="72"/>
      <c r="X9" s="72"/>
      <c r="Y9" s="118"/>
      <c r="Z9" s="72"/>
      <c r="AA9" s="72"/>
      <c r="AB9" s="118"/>
      <c r="AC9" s="72"/>
      <c r="AD9" s="72"/>
      <c r="AE9" s="118"/>
      <c r="AF9" s="72"/>
      <c r="AG9" s="72"/>
      <c r="AH9" s="118"/>
      <c r="AI9" s="72"/>
      <c r="AJ9" s="72"/>
      <c r="AK9" s="118"/>
      <c r="AL9" s="70" t="s">
        <v>324</v>
      </c>
      <c r="AM9" s="81" t="s">
        <v>325</v>
      </c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</row>
    <row r="10" spans="1:52" ht="13.9" customHeight="1" x14ac:dyDescent="0.35">
      <c r="A10" s="137"/>
      <c r="B10" s="126"/>
      <c r="C10" s="80" t="s">
        <v>326</v>
      </c>
      <c r="D10" s="80" t="s">
        <v>1</v>
      </c>
      <c r="E10" s="80">
        <v>3991</v>
      </c>
      <c r="F10" s="80"/>
      <c r="G10" s="133"/>
      <c r="H10" s="80"/>
      <c r="I10" s="80"/>
      <c r="J10" s="133"/>
      <c r="K10" s="72"/>
      <c r="L10" s="72"/>
      <c r="M10" s="118"/>
      <c r="N10" s="72"/>
      <c r="O10" s="72"/>
      <c r="P10" s="118"/>
      <c r="Q10" s="72"/>
      <c r="R10" s="72"/>
      <c r="S10" s="118"/>
      <c r="T10" s="72"/>
      <c r="U10" s="72"/>
      <c r="V10" s="118"/>
      <c r="W10" s="72"/>
      <c r="X10" s="72"/>
      <c r="Y10" s="118"/>
      <c r="Z10" s="72"/>
      <c r="AA10" s="72"/>
      <c r="AB10" s="118"/>
      <c r="AC10" s="72"/>
      <c r="AD10" s="72"/>
      <c r="AE10" s="118"/>
      <c r="AF10" s="72"/>
      <c r="AG10" s="72"/>
      <c r="AH10" s="118"/>
      <c r="AI10" s="72"/>
      <c r="AJ10" s="72"/>
      <c r="AK10" s="118"/>
      <c r="AL10" s="70" t="s">
        <v>327</v>
      </c>
      <c r="AM10" s="81" t="s">
        <v>328</v>
      </c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</row>
    <row r="11" spans="1:52" ht="13.9" customHeight="1" x14ac:dyDescent="0.35">
      <c r="A11" s="137"/>
      <c r="B11" s="126"/>
      <c r="C11" s="80" t="s">
        <v>329</v>
      </c>
      <c r="D11" s="80" t="s">
        <v>1</v>
      </c>
      <c r="E11" s="80">
        <v>15601</v>
      </c>
      <c r="F11" s="80"/>
      <c r="G11" s="133"/>
      <c r="H11" s="80"/>
      <c r="I11" s="80"/>
      <c r="J11" s="133"/>
      <c r="K11" s="72"/>
      <c r="L11" s="72"/>
      <c r="M11" s="118"/>
      <c r="N11" s="72"/>
      <c r="O11" s="72"/>
      <c r="P11" s="118"/>
      <c r="Q11" s="72"/>
      <c r="R11" s="72"/>
      <c r="S11" s="118"/>
      <c r="T11" s="72"/>
      <c r="U11" s="72"/>
      <c r="V11" s="118"/>
      <c r="W11" s="72"/>
      <c r="X11" s="72"/>
      <c r="Y11" s="118"/>
      <c r="Z11" s="72"/>
      <c r="AA11" s="72"/>
      <c r="AB11" s="118"/>
      <c r="AC11" s="72"/>
      <c r="AD11" s="72"/>
      <c r="AE11" s="118"/>
      <c r="AF11" s="72"/>
      <c r="AG11" s="72"/>
      <c r="AH11" s="118"/>
      <c r="AI11" s="72"/>
      <c r="AJ11" s="72"/>
      <c r="AK11" s="118"/>
      <c r="AL11" s="70"/>
      <c r="AM11" s="81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</row>
    <row r="12" spans="1:52" ht="13.9" customHeight="1" x14ac:dyDescent="0.35">
      <c r="A12" s="137"/>
      <c r="B12" s="126"/>
      <c r="C12" s="80" t="s">
        <v>554</v>
      </c>
      <c r="D12" s="80" t="s">
        <v>0</v>
      </c>
      <c r="E12" s="80">
        <v>42000</v>
      </c>
      <c r="F12" s="80"/>
      <c r="G12" s="133"/>
      <c r="H12" s="80"/>
      <c r="I12" s="80"/>
      <c r="J12" s="133"/>
      <c r="K12" s="72"/>
      <c r="L12" s="72"/>
      <c r="M12" s="118"/>
      <c r="N12" s="72"/>
      <c r="O12" s="72"/>
      <c r="P12" s="118"/>
      <c r="Q12" s="72"/>
      <c r="R12" s="72"/>
      <c r="S12" s="118"/>
      <c r="T12" s="72"/>
      <c r="U12" s="72"/>
      <c r="V12" s="118"/>
      <c r="W12" s="72"/>
      <c r="X12" s="72"/>
      <c r="Y12" s="118"/>
      <c r="Z12" s="72"/>
      <c r="AA12" s="72"/>
      <c r="AB12" s="118"/>
      <c r="AC12" s="72"/>
      <c r="AD12" s="72"/>
      <c r="AE12" s="118"/>
      <c r="AF12" s="72"/>
      <c r="AG12" s="72"/>
      <c r="AH12" s="118"/>
      <c r="AI12" s="72"/>
      <c r="AJ12" s="72"/>
      <c r="AK12" s="118"/>
      <c r="AL12" s="70"/>
      <c r="AM12" s="81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</row>
    <row r="13" spans="1:52" ht="15" customHeight="1" x14ac:dyDescent="0.35">
      <c r="A13" s="137"/>
      <c r="B13" s="126"/>
      <c r="C13" s="10" t="s">
        <v>555</v>
      </c>
      <c r="D13" s="7"/>
      <c r="E13" s="80">
        <v>9</v>
      </c>
      <c r="F13" s="80"/>
      <c r="G13" s="131"/>
      <c r="H13" s="80"/>
      <c r="I13" s="80"/>
      <c r="J13" s="131"/>
      <c r="K13" s="72"/>
      <c r="L13" s="72"/>
      <c r="M13" s="125"/>
      <c r="N13" s="72"/>
      <c r="O13" s="72"/>
      <c r="P13" s="125"/>
      <c r="Q13" s="72"/>
      <c r="R13" s="72"/>
      <c r="S13" s="125"/>
      <c r="T13" s="72"/>
      <c r="U13" s="72"/>
      <c r="V13" s="125"/>
      <c r="W13" s="72"/>
      <c r="X13" s="72"/>
      <c r="Y13" s="125"/>
      <c r="Z13" s="72"/>
      <c r="AA13" s="72"/>
      <c r="AB13" s="125"/>
      <c r="AC13" s="72"/>
      <c r="AD13" s="72"/>
      <c r="AE13" s="125"/>
      <c r="AF13" s="72"/>
      <c r="AG13" s="72"/>
      <c r="AH13" s="125"/>
      <c r="AI13" s="72"/>
      <c r="AJ13" s="72"/>
      <c r="AK13" s="125"/>
      <c r="AL13" s="70" t="s">
        <v>330</v>
      </c>
      <c r="AM13" s="81" t="s">
        <v>331</v>
      </c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</row>
    <row r="14" spans="1:52" ht="13.9" customHeight="1" x14ac:dyDescent="0.35">
      <c r="A14" s="137"/>
      <c r="B14" s="126" t="s">
        <v>324</v>
      </c>
      <c r="C14" s="80" t="s">
        <v>528</v>
      </c>
      <c r="D14" s="80" t="s">
        <v>529</v>
      </c>
      <c r="E14" s="80">
        <v>50</v>
      </c>
      <c r="F14" s="80"/>
      <c r="G14" s="130"/>
      <c r="H14" s="80"/>
      <c r="I14" s="80"/>
      <c r="J14" s="130"/>
      <c r="K14" s="72"/>
      <c r="L14" s="72"/>
      <c r="M14" s="122"/>
      <c r="N14" s="72"/>
      <c r="O14" s="72"/>
      <c r="P14" s="122"/>
      <c r="Q14" s="72"/>
      <c r="R14" s="72"/>
      <c r="S14" s="122"/>
      <c r="T14" s="72"/>
      <c r="U14" s="72"/>
      <c r="V14" s="122"/>
      <c r="W14" s="72"/>
      <c r="X14" s="72"/>
      <c r="Y14" s="122"/>
      <c r="Z14" s="72"/>
      <c r="AA14" s="72"/>
      <c r="AB14" s="122"/>
      <c r="AC14" s="72"/>
      <c r="AD14" s="72"/>
      <c r="AE14" s="122"/>
      <c r="AF14" s="72"/>
      <c r="AG14" s="72"/>
      <c r="AH14" s="122"/>
      <c r="AI14" s="72"/>
      <c r="AJ14" s="72"/>
      <c r="AK14" s="122"/>
      <c r="AL14" s="70" t="s">
        <v>333</v>
      </c>
      <c r="AM14" s="81" t="s">
        <v>334</v>
      </c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</row>
    <row r="15" spans="1:52" ht="13.9" customHeight="1" x14ac:dyDescent="0.35">
      <c r="A15" s="137"/>
      <c r="B15" s="126"/>
      <c r="C15" s="80" t="s">
        <v>556</v>
      </c>
      <c r="D15" s="80" t="s">
        <v>529</v>
      </c>
      <c r="E15" s="80"/>
      <c r="F15" s="80"/>
      <c r="G15" s="133"/>
      <c r="H15" s="80"/>
      <c r="I15" s="80"/>
      <c r="J15" s="133"/>
      <c r="K15" s="72"/>
      <c r="L15" s="72"/>
      <c r="M15" s="118"/>
      <c r="N15" s="72"/>
      <c r="O15" s="72"/>
      <c r="P15" s="118"/>
      <c r="Q15" s="72"/>
      <c r="R15" s="72"/>
      <c r="S15" s="118"/>
      <c r="T15" s="72"/>
      <c r="U15" s="72"/>
      <c r="V15" s="118"/>
      <c r="W15" s="72"/>
      <c r="X15" s="72"/>
      <c r="Y15" s="118"/>
      <c r="Z15" s="72"/>
      <c r="AA15" s="72"/>
      <c r="AB15" s="118"/>
      <c r="AC15" s="72"/>
      <c r="AD15" s="72"/>
      <c r="AE15" s="118"/>
      <c r="AF15" s="72"/>
      <c r="AG15" s="72"/>
      <c r="AH15" s="118"/>
      <c r="AI15" s="72"/>
      <c r="AJ15" s="72"/>
      <c r="AK15" s="118"/>
      <c r="AL15" s="70"/>
      <c r="AM15" s="81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</row>
    <row r="16" spans="1:52" ht="13.9" customHeight="1" x14ac:dyDescent="0.35">
      <c r="A16" s="137"/>
      <c r="B16" s="126"/>
      <c r="C16" s="80" t="s">
        <v>335</v>
      </c>
      <c r="D16" s="80" t="s">
        <v>1</v>
      </c>
      <c r="E16" s="80">
        <v>8200</v>
      </c>
      <c r="F16" s="80"/>
      <c r="G16" s="133"/>
      <c r="H16" s="80"/>
      <c r="I16" s="80"/>
      <c r="J16" s="133"/>
      <c r="K16" s="72"/>
      <c r="L16" s="72"/>
      <c r="M16" s="118"/>
      <c r="N16" s="72"/>
      <c r="O16" s="72"/>
      <c r="P16" s="118"/>
      <c r="Q16" s="72"/>
      <c r="R16" s="72"/>
      <c r="S16" s="118"/>
      <c r="T16" s="72"/>
      <c r="U16" s="72"/>
      <c r="V16" s="118"/>
      <c r="W16" s="72"/>
      <c r="X16" s="72"/>
      <c r="Y16" s="118"/>
      <c r="Z16" s="72"/>
      <c r="AA16" s="72"/>
      <c r="AB16" s="118"/>
      <c r="AC16" s="72"/>
      <c r="AD16" s="72"/>
      <c r="AE16" s="118"/>
      <c r="AF16" s="72"/>
      <c r="AG16" s="72"/>
      <c r="AH16" s="118"/>
      <c r="AI16" s="72"/>
      <c r="AJ16" s="72"/>
      <c r="AK16" s="118"/>
      <c r="AL16" s="70" t="s">
        <v>336</v>
      </c>
      <c r="AM16" s="81" t="s">
        <v>337</v>
      </c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</row>
    <row r="17" spans="1:52" ht="13.9" customHeight="1" x14ac:dyDescent="0.35">
      <c r="A17" s="137"/>
      <c r="B17" s="126"/>
      <c r="C17" s="80" t="s">
        <v>537</v>
      </c>
      <c r="D17" s="80"/>
      <c r="E17" s="80" t="s">
        <v>739</v>
      </c>
      <c r="F17" s="80"/>
      <c r="G17" s="133"/>
      <c r="H17" s="80"/>
      <c r="I17" s="80"/>
      <c r="J17" s="133"/>
      <c r="K17" s="72"/>
      <c r="L17" s="72"/>
      <c r="M17" s="118"/>
      <c r="N17" s="72"/>
      <c r="O17" s="72"/>
      <c r="P17" s="118"/>
      <c r="Q17" s="72"/>
      <c r="R17" s="72"/>
      <c r="S17" s="118"/>
      <c r="T17" s="72"/>
      <c r="U17" s="72"/>
      <c r="V17" s="118"/>
      <c r="W17" s="72"/>
      <c r="X17" s="72"/>
      <c r="Y17" s="118"/>
      <c r="Z17" s="72"/>
      <c r="AA17" s="72"/>
      <c r="AB17" s="118"/>
      <c r="AC17" s="72"/>
      <c r="AD17" s="72"/>
      <c r="AE17" s="118"/>
      <c r="AF17" s="72"/>
      <c r="AG17" s="72"/>
      <c r="AH17" s="118"/>
      <c r="AI17" s="72"/>
      <c r="AJ17" s="72"/>
      <c r="AK17" s="118"/>
      <c r="AL17" s="70"/>
      <c r="AM17" s="81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</row>
    <row r="18" spans="1:52" ht="13.9" customHeight="1" x14ac:dyDescent="0.35">
      <c r="A18" s="137"/>
      <c r="B18" s="126"/>
      <c r="C18" s="80" t="s">
        <v>530</v>
      </c>
      <c r="D18" s="80"/>
      <c r="E18" s="80"/>
      <c r="F18" s="80"/>
      <c r="G18" s="133"/>
      <c r="H18" s="80"/>
      <c r="I18" s="80"/>
      <c r="J18" s="133"/>
      <c r="K18" s="72"/>
      <c r="L18" s="72"/>
      <c r="M18" s="118"/>
      <c r="N18" s="72"/>
      <c r="O18" s="72"/>
      <c r="P18" s="118"/>
      <c r="Q18" s="72"/>
      <c r="R18" s="72"/>
      <c r="S18" s="118"/>
      <c r="T18" s="72"/>
      <c r="U18" s="72"/>
      <c r="V18" s="118"/>
      <c r="W18" s="72"/>
      <c r="X18" s="72"/>
      <c r="Y18" s="118"/>
      <c r="Z18" s="72"/>
      <c r="AA18" s="72"/>
      <c r="AB18" s="118"/>
      <c r="AC18" s="72"/>
      <c r="AD18" s="72"/>
      <c r="AE18" s="118"/>
      <c r="AF18" s="72"/>
      <c r="AG18" s="72"/>
      <c r="AH18" s="118"/>
      <c r="AI18" s="72"/>
      <c r="AJ18" s="72"/>
      <c r="AK18" s="118"/>
      <c r="AL18" s="70" t="s">
        <v>339</v>
      </c>
      <c r="AM18" s="81" t="s">
        <v>340</v>
      </c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</row>
    <row r="19" spans="1:52" ht="13.9" customHeight="1" x14ac:dyDescent="0.35">
      <c r="A19" s="137"/>
      <c r="B19" s="126"/>
      <c r="C19" s="80" t="s">
        <v>607</v>
      </c>
      <c r="D19" s="80" t="s">
        <v>142</v>
      </c>
      <c r="E19" s="80">
        <v>10.1</v>
      </c>
      <c r="F19" s="80"/>
      <c r="G19" s="133"/>
      <c r="H19" s="80"/>
      <c r="I19" s="80"/>
      <c r="J19" s="133"/>
      <c r="K19" s="72"/>
      <c r="L19" s="72"/>
      <c r="M19" s="118"/>
      <c r="N19" s="72"/>
      <c r="O19" s="72"/>
      <c r="P19" s="118"/>
      <c r="Q19" s="72"/>
      <c r="R19" s="72"/>
      <c r="S19" s="118"/>
      <c r="T19" s="72"/>
      <c r="U19" s="72"/>
      <c r="V19" s="118"/>
      <c r="W19" s="72"/>
      <c r="X19" s="72"/>
      <c r="Y19" s="118"/>
      <c r="Z19" s="72"/>
      <c r="AA19" s="72"/>
      <c r="AB19" s="118"/>
      <c r="AC19" s="72"/>
      <c r="AD19" s="72"/>
      <c r="AE19" s="118"/>
      <c r="AF19" s="72"/>
      <c r="AG19" s="72"/>
      <c r="AH19" s="118"/>
      <c r="AI19" s="72"/>
      <c r="AJ19" s="72"/>
      <c r="AK19" s="118"/>
      <c r="AL19" s="70"/>
      <c r="AM19" s="81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</row>
    <row r="20" spans="1:52" ht="13.9" customHeight="1" x14ac:dyDescent="0.35">
      <c r="A20" s="137"/>
      <c r="B20" s="126"/>
      <c r="C20" s="80" t="s">
        <v>608</v>
      </c>
      <c r="D20" s="80" t="s">
        <v>575</v>
      </c>
      <c r="E20" s="80">
        <v>60</v>
      </c>
      <c r="F20" s="80"/>
      <c r="G20" s="133"/>
      <c r="H20" s="80"/>
      <c r="I20" s="80"/>
      <c r="J20" s="133"/>
      <c r="K20" s="72"/>
      <c r="L20" s="72"/>
      <c r="M20" s="118"/>
      <c r="N20" s="72"/>
      <c r="O20" s="72"/>
      <c r="P20" s="118"/>
      <c r="Q20" s="72"/>
      <c r="R20" s="72"/>
      <c r="S20" s="118"/>
      <c r="T20" s="72"/>
      <c r="U20" s="72"/>
      <c r="V20" s="118"/>
      <c r="W20" s="72"/>
      <c r="X20" s="72"/>
      <c r="Y20" s="118"/>
      <c r="Z20" s="72"/>
      <c r="AA20" s="72"/>
      <c r="AB20" s="118"/>
      <c r="AC20" s="72"/>
      <c r="AD20" s="72"/>
      <c r="AE20" s="118"/>
      <c r="AF20" s="72"/>
      <c r="AG20" s="72"/>
      <c r="AH20" s="118"/>
      <c r="AI20" s="72"/>
      <c r="AJ20" s="72"/>
      <c r="AK20" s="118"/>
      <c r="AL20" s="70"/>
      <c r="AM20" s="81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</row>
    <row r="21" spans="1:52" ht="13.9" customHeight="1" x14ac:dyDescent="0.35">
      <c r="A21" s="137"/>
      <c r="B21" s="126"/>
      <c r="C21" s="80" t="s">
        <v>531</v>
      </c>
      <c r="D21" s="80" t="s">
        <v>563</v>
      </c>
      <c r="E21" s="80">
        <v>21</v>
      </c>
      <c r="F21" s="80"/>
      <c r="G21" s="133"/>
      <c r="H21" s="80"/>
      <c r="I21" s="80"/>
      <c r="J21" s="133"/>
      <c r="K21" s="72"/>
      <c r="L21" s="72"/>
      <c r="M21" s="118"/>
      <c r="N21" s="72"/>
      <c r="O21" s="72"/>
      <c r="P21" s="118"/>
      <c r="Q21" s="72"/>
      <c r="R21" s="72"/>
      <c r="S21" s="118"/>
      <c r="T21" s="72"/>
      <c r="U21" s="72"/>
      <c r="V21" s="118"/>
      <c r="W21" s="72"/>
      <c r="X21" s="72"/>
      <c r="Y21" s="118"/>
      <c r="Z21" s="72"/>
      <c r="AA21" s="72"/>
      <c r="AB21" s="118"/>
      <c r="AC21" s="72"/>
      <c r="AD21" s="72"/>
      <c r="AE21" s="118"/>
      <c r="AF21" s="72"/>
      <c r="AG21" s="72"/>
      <c r="AH21" s="118"/>
      <c r="AI21" s="72"/>
      <c r="AJ21" s="72"/>
      <c r="AK21" s="118"/>
      <c r="AL21" s="70"/>
      <c r="AM21" s="81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</row>
    <row r="22" spans="1:52" ht="13.9" customHeight="1" x14ac:dyDescent="0.35">
      <c r="A22" s="137"/>
      <c r="B22" s="126"/>
      <c r="C22" s="80" t="s">
        <v>532</v>
      </c>
      <c r="D22" s="80" t="s">
        <v>563</v>
      </c>
      <c r="E22" s="80">
        <v>12</v>
      </c>
      <c r="F22" s="80"/>
      <c r="G22" s="131"/>
      <c r="H22" s="80"/>
      <c r="I22" s="80"/>
      <c r="J22" s="131"/>
      <c r="K22" s="72"/>
      <c r="L22" s="72"/>
      <c r="M22" s="125"/>
      <c r="N22" s="72"/>
      <c r="O22" s="72"/>
      <c r="P22" s="125"/>
      <c r="Q22" s="72"/>
      <c r="R22" s="72"/>
      <c r="S22" s="125"/>
      <c r="T22" s="72"/>
      <c r="U22" s="72"/>
      <c r="V22" s="125"/>
      <c r="W22" s="72"/>
      <c r="X22" s="72"/>
      <c r="Y22" s="125"/>
      <c r="Z22" s="72"/>
      <c r="AA22" s="72"/>
      <c r="AB22" s="125"/>
      <c r="AC22" s="72"/>
      <c r="AD22" s="72"/>
      <c r="AE22" s="125"/>
      <c r="AF22" s="72"/>
      <c r="AG22" s="72"/>
      <c r="AH22" s="125"/>
      <c r="AI22" s="72"/>
      <c r="AJ22" s="72"/>
      <c r="AK22" s="125"/>
      <c r="AL22" s="70" t="s">
        <v>342</v>
      </c>
      <c r="AM22" s="81" t="s">
        <v>343</v>
      </c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</row>
    <row r="23" spans="1:52" ht="13.9" customHeight="1" x14ac:dyDescent="0.35">
      <c r="A23" s="137"/>
      <c r="B23" s="130" t="s">
        <v>582</v>
      </c>
      <c r="C23" s="80" t="s">
        <v>522</v>
      </c>
      <c r="D23" s="80" t="s">
        <v>142</v>
      </c>
      <c r="E23" s="80">
        <v>13</v>
      </c>
      <c r="F23" s="80"/>
      <c r="G23" s="130"/>
      <c r="H23" s="80"/>
      <c r="I23" s="80"/>
      <c r="J23" s="130"/>
      <c r="K23" s="72"/>
      <c r="L23" s="72"/>
      <c r="M23" s="122"/>
      <c r="N23" s="72"/>
      <c r="O23" s="72"/>
      <c r="P23" s="122"/>
      <c r="Q23" s="72"/>
      <c r="R23" s="72"/>
      <c r="S23" s="122"/>
      <c r="T23" s="72"/>
      <c r="U23" s="72"/>
      <c r="V23" s="122"/>
      <c r="W23" s="72"/>
      <c r="X23" s="72"/>
      <c r="Y23" s="122"/>
      <c r="Z23" s="72"/>
      <c r="AA23" s="72"/>
      <c r="AB23" s="122"/>
      <c r="AC23" s="72"/>
      <c r="AD23" s="72"/>
      <c r="AE23" s="122"/>
      <c r="AF23" s="72"/>
      <c r="AG23" s="72"/>
      <c r="AH23" s="122"/>
      <c r="AI23" s="72"/>
      <c r="AJ23" s="72"/>
      <c r="AK23" s="122"/>
      <c r="AL23" s="70" t="s">
        <v>345</v>
      </c>
      <c r="AM23" s="81" t="s">
        <v>346</v>
      </c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</row>
    <row r="24" spans="1:52" ht="13.9" customHeight="1" x14ac:dyDescent="0.35">
      <c r="A24" s="137"/>
      <c r="B24" s="133"/>
      <c r="C24" s="80" t="s">
        <v>523</v>
      </c>
      <c r="D24" s="80" t="s">
        <v>142</v>
      </c>
      <c r="E24" s="80">
        <v>62</v>
      </c>
      <c r="F24" s="80"/>
      <c r="G24" s="133"/>
      <c r="H24" s="80"/>
      <c r="I24" s="80"/>
      <c r="J24" s="133"/>
      <c r="K24" s="72"/>
      <c r="L24" s="72"/>
      <c r="M24" s="118"/>
      <c r="N24" s="72"/>
      <c r="O24" s="72"/>
      <c r="P24" s="118"/>
      <c r="Q24" s="72"/>
      <c r="R24" s="72"/>
      <c r="S24" s="118"/>
      <c r="T24" s="72"/>
      <c r="U24" s="72"/>
      <c r="V24" s="118"/>
      <c r="W24" s="72"/>
      <c r="X24" s="72"/>
      <c r="Y24" s="118"/>
      <c r="Z24" s="72"/>
      <c r="AA24" s="84"/>
      <c r="AB24" s="118"/>
      <c r="AC24" s="84"/>
      <c r="AD24" s="72"/>
      <c r="AE24" s="118"/>
      <c r="AF24" s="72"/>
      <c r="AG24" s="72"/>
      <c r="AH24" s="118"/>
      <c r="AI24" s="72"/>
      <c r="AJ24" s="72"/>
      <c r="AK24" s="118"/>
      <c r="AL24" s="70"/>
      <c r="AM24" s="79" t="s">
        <v>348</v>
      </c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</row>
    <row r="25" spans="1:52" ht="13.9" customHeight="1" x14ac:dyDescent="0.35">
      <c r="A25" s="137"/>
      <c r="B25" s="133"/>
      <c r="C25" s="80" t="s">
        <v>524</v>
      </c>
      <c r="D25" s="80" t="s">
        <v>142</v>
      </c>
      <c r="E25" s="80"/>
      <c r="F25" s="80"/>
      <c r="G25" s="133"/>
      <c r="H25" s="80"/>
      <c r="I25" s="80"/>
      <c r="J25" s="133"/>
      <c r="K25" s="72"/>
      <c r="L25" s="72"/>
      <c r="M25" s="118"/>
      <c r="N25" s="72"/>
      <c r="O25" s="72"/>
      <c r="P25" s="118"/>
      <c r="Q25" s="72"/>
      <c r="R25" s="72"/>
      <c r="S25" s="118"/>
      <c r="T25" s="72"/>
      <c r="U25" s="72"/>
      <c r="V25" s="118"/>
      <c r="W25" s="72"/>
      <c r="X25" s="72"/>
      <c r="Y25" s="118"/>
      <c r="Z25" s="72"/>
      <c r="AA25" s="72"/>
      <c r="AB25" s="118"/>
      <c r="AC25" s="72"/>
      <c r="AD25" s="72"/>
      <c r="AE25" s="118"/>
      <c r="AF25" s="72"/>
      <c r="AG25" s="72"/>
      <c r="AH25" s="118"/>
      <c r="AI25" s="72"/>
      <c r="AJ25" s="72"/>
      <c r="AK25" s="118"/>
      <c r="AL25" s="70" t="s">
        <v>350</v>
      </c>
      <c r="AM25" s="81" t="s">
        <v>351</v>
      </c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</row>
    <row r="26" spans="1:52" ht="13.9" customHeight="1" x14ac:dyDescent="0.35">
      <c r="A26" s="137"/>
      <c r="B26" s="133"/>
      <c r="C26" s="80" t="s">
        <v>525</v>
      </c>
      <c r="D26" s="80" t="s">
        <v>142</v>
      </c>
      <c r="E26" s="80"/>
      <c r="F26" s="80"/>
      <c r="G26" s="133"/>
      <c r="H26" s="106"/>
      <c r="I26" s="80"/>
      <c r="J26" s="133"/>
      <c r="K26" s="114"/>
      <c r="L26" s="72"/>
      <c r="M26" s="118"/>
      <c r="N26" s="115"/>
      <c r="O26" s="72"/>
      <c r="P26" s="118"/>
      <c r="Q26" s="72"/>
      <c r="R26" s="72"/>
      <c r="S26" s="118"/>
      <c r="T26" s="72"/>
      <c r="U26" s="72"/>
      <c r="V26" s="118"/>
      <c r="W26" s="114"/>
      <c r="X26" s="72"/>
      <c r="Y26" s="118"/>
      <c r="Z26" s="72"/>
      <c r="AA26" s="72"/>
      <c r="AB26" s="118"/>
      <c r="AC26" s="72"/>
      <c r="AD26" s="72"/>
      <c r="AE26" s="118"/>
      <c r="AF26" s="72"/>
      <c r="AG26" s="72"/>
      <c r="AH26" s="118"/>
      <c r="AI26" s="72"/>
      <c r="AJ26" s="72"/>
      <c r="AK26" s="118"/>
      <c r="AL26" s="70" t="s">
        <v>333</v>
      </c>
      <c r="AM26" s="81" t="s">
        <v>353</v>
      </c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</row>
    <row r="27" spans="1:52" ht="13.9" customHeight="1" x14ac:dyDescent="0.35">
      <c r="A27" s="137"/>
      <c r="B27" s="133"/>
      <c r="C27" s="80" t="s">
        <v>552</v>
      </c>
      <c r="D27" s="80" t="s">
        <v>563</v>
      </c>
      <c r="E27" s="80" t="s">
        <v>648</v>
      </c>
      <c r="F27" s="80"/>
      <c r="G27" s="133"/>
      <c r="H27" s="105"/>
      <c r="I27" s="80"/>
      <c r="J27" s="133"/>
      <c r="K27" s="72"/>
      <c r="L27" s="72"/>
      <c r="M27" s="118"/>
      <c r="N27" s="72"/>
      <c r="O27" s="72"/>
      <c r="P27" s="118"/>
      <c r="Q27" s="72"/>
      <c r="R27" s="72"/>
      <c r="S27" s="118"/>
      <c r="T27" s="72"/>
      <c r="U27" s="72"/>
      <c r="V27" s="118"/>
      <c r="W27" s="72"/>
      <c r="X27" s="72"/>
      <c r="Y27" s="118"/>
      <c r="Z27" s="72"/>
      <c r="AA27" s="72"/>
      <c r="AB27" s="118"/>
      <c r="AC27" s="72"/>
      <c r="AD27" s="72"/>
      <c r="AE27" s="118"/>
      <c r="AF27" s="72"/>
      <c r="AG27" s="72"/>
      <c r="AH27" s="118"/>
      <c r="AI27" s="72"/>
      <c r="AJ27" s="72"/>
      <c r="AK27" s="118"/>
      <c r="AL27" s="70"/>
      <c r="AM27" s="81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</row>
    <row r="28" spans="1:52" ht="13.9" customHeight="1" x14ac:dyDescent="0.35">
      <c r="A28" s="137"/>
      <c r="B28" s="131"/>
      <c r="C28" s="80" t="s">
        <v>553</v>
      </c>
      <c r="D28" s="80" t="s">
        <v>544</v>
      </c>
      <c r="E28" s="80" t="s">
        <v>651</v>
      </c>
      <c r="F28" s="80"/>
      <c r="G28" s="133"/>
      <c r="H28" s="80"/>
      <c r="I28" s="80"/>
      <c r="J28" s="133"/>
      <c r="K28" s="72"/>
      <c r="L28" s="72"/>
      <c r="M28" s="118"/>
      <c r="N28" s="72"/>
      <c r="O28" s="72"/>
      <c r="P28" s="118"/>
      <c r="Q28" s="72"/>
      <c r="R28" s="72"/>
      <c r="S28" s="118"/>
      <c r="T28" s="72"/>
      <c r="U28" s="72"/>
      <c r="V28" s="118"/>
      <c r="W28" s="72"/>
      <c r="X28" s="72"/>
      <c r="Y28" s="118"/>
      <c r="Z28" s="72"/>
      <c r="AA28" s="72"/>
      <c r="AB28" s="118"/>
      <c r="AC28" s="72"/>
      <c r="AD28" s="72"/>
      <c r="AE28" s="118"/>
      <c r="AF28" s="72"/>
      <c r="AG28" s="72"/>
      <c r="AH28" s="118"/>
      <c r="AI28" s="72"/>
      <c r="AJ28" s="72"/>
      <c r="AK28" s="118"/>
      <c r="AL28" s="70"/>
      <c r="AM28" s="81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</row>
    <row r="29" spans="1:52" ht="13.9" customHeight="1" x14ac:dyDescent="0.35">
      <c r="A29" s="137"/>
      <c r="B29" s="104"/>
      <c r="C29" s="80" t="s">
        <v>526</v>
      </c>
      <c r="D29" s="80" t="s">
        <v>1</v>
      </c>
      <c r="E29" s="80">
        <v>2683</v>
      </c>
      <c r="F29" s="80"/>
      <c r="G29" s="133"/>
      <c r="H29" s="80"/>
      <c r="I29" s="80"/>
      <c r="J29" s="133"/>
      <c r="K29" s="72"/>
      <c r="L29" s="72"/>
      <c r="M29" s="118"/>
      <c r="N29" s="72"/>
      <c r="O29" s="72"/>
      <c r="P29" s="118"/>
      <c r="Q29" s="72"/>
      <c r="R29" s="72"/>
      <c r="S29" s="118"/>
      <c r="T29" s="72"/>
      <c r="U29" s="72"/>
      <c r="V29" s="118"/>
      <c r="W29" s="72"/>
      <c r="X29" s="72"/>
      <c r="Y29" s="118"/>
      <c r="Z29" s="72"/>
      <c r="AA29" s="72"/>
      <c r="AB29" s="118"/>
      <c r="AC29" s="72"/>
      <c r="AD29" s="72"/>
      <c r="AE29" s="118"/>
      <c r="AF29" s="72"/>
      <c r="AG29" s="72"/>
      <c r="AH29" s="118"/>
      <c r="AI29" s="72"/>
      <c r="AJ29" s="72"/>
      <c r="AK29" s="118"/>
      <c r="AL29" s="70" t="s">
        <v>355</v>
      </c>
      <c r="AM29" s="81" t="s">
        <v>356</v>
      </c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</row>
    <row r="30" spans="1:52" ht="13.9" customHeight="1" x14ac:dyDescent="0.35">
      <c r="A30" s="137"/>
      <c r="B30" s="104"/>
      <c r="C30" s="80" t="s">
        <v>598</v>
      </c>
      <c r="D30" s="80" t="s">
        <v>563</v>
      </c>
      <c r="E30" s="80" t="s">
        <v>611</v>
      </c>
      <c r="F30" s="80"/>
      <c r="G30" s="133"/>
      <c r="H30" s="106"/>
      <c r="I30" s="80"/>
      <c r="J30" s="133"/>
      <c r="K30" s="72"/>
      <c r="L30" s="72"/>
      <c r="M30" s="118"/>
      <c r="N30" s="72"/>
      <c r="O30" s="72"/>
      <c r="P30" s="118"/>
      <c r="Q30" s="72"/>
      <c r="R30" s="72"/>
      <c r="S30" s="118"/>
      <c r="T30" s="72"/>
      <c r="U30" s="72"/>
      <c r="V30" s="118"/>
      <c r="W30" s="72"/>
      <c r="X30" s="72"/>
      <c r="Y30" s="118"/>
      <c r="Z30" s="72"/>
      <c r="AA30" s="72"/>
      <c r="AB30" s="118"/>
      <c r="AC30" s="72"/>
      <c r="AD30" s="72"/>
      <c r="AE30" s="118"/>
      <c r="AF30" s="72"/>
      <c r="AG30" s="72"/>
      <c r="AH30" s="118"/>
      <c r="AI30" s="72"/>
      <c r="AJ30" s="72"/>
      <c r="AK30" s="118"/>
      <c r="AL30" s="70"/>
      <c r="AM30" s="81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</row>
    <row r="31" spans="1:52" ht="13.9" customHeight="1" x14ac:dyDescent="0.35">
      <c r="A31" s="137"/>
      <c r="B31" s="130" t="s">
        <v>581</v>
      </c>
      <c r="C31" s="80" t="s">
        <v>533</v>
      </c>
      <c r="D31" s="80" t="s">
        <v>1</v>
      </c>
      <c r="E31" s="80"/>
      <c r="F31" s="80"/>
      <c r="G31" s="133"/>
      <c r="H31" s="80"/>
      <c r="I31" s="80"/>
      <c r="J31" s="133"/>
      <c r="K31" s="72"/>
      <c r="L31" s="72"/>
      <c r="M31" s="118"/>
      <c r="N31" s="72"/>
      <c r="O31" s="72"/>
      <c r="P31" s="118"/>
      <c r="Q31" s="72"/>
      <c r="R31" s="72"/>
      <c r="S31" s="118"/>
      <c r="T31" s="72"/>
      <c r="U31" s="72"/>
      <c r="V31" s="118"/>
      <c r="W31" s="72"/>
      <c r="X31" s="72"/>
      <c r="Y31" s="118"/>
      <c r="Z31" s="72"/>
      <c r="AA31" s="72"/>
      <c r="AB31" s="118"/>
      <c r="AC31" s="72"/>
      <c r="AD31" s="72"/>
      <c r="AE31" s="118"/>
      <c r="AF31" s="72"/>
      <c r="AG31" s="72"/>
      <c r="AH31" s="118"/>
      <c r="AI31" s="72"/>
      <c r="AJ31" s="72"/>
      <c r="AK31" s="118"/>
      <c r="AL31" s="70"/>
      <c r="AM31" s="81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</row>
    <row r="32" spans="1:52" ht="13.9" customHeight="1" x14ac:dyDescent="0.35">
      <c r="A32" s="137"/>
      <c r="B32" s="133"/>
      <c r="C32" s="80" t="s">
        <v>534</v>
      </c>
      <c r="D32" s="80" t="s">
        <v>142</v>
      </c>
      <c r="E32" s="80">
        <v>7.7</v>
      </c>
      <c r="F32" s="80"/>
      <c r="G32" s="133"/>
      <c r="H32" s="80"/>
      <c r="I32" s="80"/>
      <c r="J32" s="133"/>
      <c r="K32" s="72"/>
      <c r="L32" s="72"/>
      <c r="M32" s="118"/>
      <c r="N32" s="72"/>
      <c r="O32" s="72"/>
      <c r="P32" s="118"/>
      <c r="Q32" s="72"/>
      <c r="R32" s="72"/>
      <c r="S32" s="118"/>
      <c r="T32" s="72"/>
      <c r="U32" s="72"/>
      <c r="V32" s="118"/>
      <c r="W32" s="72"/>
      <c r="X32" s="72"/>
      <c r="Y32" s="118"/>
      <c r="Z32" s="72"/>
      <c r="AA32" s="72"/>
      <c r="AB32" s="118"/>
      <c r="AC32" s="72"/>
      <c r="AD32" s="72"/>
      <c r="AE32" s="118"/>
      <c r="AF32" s="72"/>
      <c r="AG32" s="72"/>
      <c r="AH32" s="118"/>
      <c r="AI32" s="72"/>
      <c r="AJ32" s="72"/>
      <c r="AK32" s="118"/>
      <c r="AL32" s="70"/>
      <c r="AM32" s="81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</row>
    <row r="33" spans="1:52" ht="13.9" customHeight="1" x14ac:dyDescent="0.35">
      <c r="A33" s="137"/>
      <c r="B33" s="133"/>
      <c r="C33" s="80" t="s">
        <v>605</v>
      </c>
      <c r="D33" s="80"/>
      <c r="E33" s="80">
        <v>4</v>
      </c>
      <c r="F33" s="80"/>
      <c r="G33" s="133"/>
      <c r="H33" s="80"/>
      <c r="I33" s="80"/>
      <c r="J33" s="133"/>
      <c r="K33" s="72"/>
      <c r="L33" s="72"/>
      <c r="M33" s="118"/>
      <c r="N33" s="72"/>
      <c r="O33" s="72"/>
      <c r="P33" s="118"/>
      <c r="Q33" s="72"/>
      <c r="R33" s="72"/>
      <c r="S33" s="118"/>
      <c r="T33" s="72"/>
      <c r="U33" s="72"/>
      <c r="V33" s="118"/>
      <c r="W33" s="72"/>
      <c r="X33" s="72"/>
      <c r="Y33" s="118"/>
      <c r="Z33" s="72"/>
      <c r="AA33" s="72"/>
      <c r="AB33" s="118"/>
      <c r="AC33" s="72"/>
      <c r="AD33" s="72"/>
      <c r="AE33" s="118"/>
      <c r="AF33" s="72"/>
      <c r="AG33" s="72"/>
      <c r="AH33" s="118"/>
      <c r="AI33" s="72"/>
      <c r="AJ33" s="72"/>
      <c r="AK33" s="118"/>
      <c r="AL33" s="70"/>
      <c r="AM33" s="81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</row>
    <row r="34" spans="1:52" s="14" customFormat="1" ht="14.25" customHeight="1" x14ac:dyDescent="0.25">
      <c r="A34" s="137"/>
      <c r="B34" s="131"/>
      <c r="C34" s="80" t="s">
        <v>609</v>
      </c>
      <c r="D34" s="80" t="s">
        <v>544</v>
      </c>
      <c r="E34" s="80" t="s">
        <v>596</v>
      </c>
      <c r="F34" s="80"/>
      <c r="G34" s="131"/>
      <c r="H34" s="80"/>
      <c r="I34" s="80"/>
      <c r="J34" s="131"/>
      <c r="K34" s="73"/>
      <c r="L34" s="73"/>
      <c r="M34" s="125"/>
      <c r="N34" s="73"/>
      <c r="O34" s="73"/>
      <c r="P34" s="125"/>
      <c r="Q34" s="73"/>
      <c r="R34" s="73"/>
      <c r="S34" s="125"/>
      <c r="T34" s="72"/>
      <c r="U34" s="72"/>
      <c r="V34" s="125"/>
      <c r="W34" s="72"/>
      <c r="X34" s="72"/>
      <c r="Y34" s="125"/>
      <c r="Z34" s="73"/>
      <c r="AA34" s="73"/>
      <c r="AB34" s="125"/>
      <c r="AC34" s="73"/>
      <c r="AD34" s="73"/>
      <c r="AE34" s="125"/>
      <c r="AF34" s="73"/>
      <c r="AG34" s="73"/>
      <c r="AH34" s="125"/>
      <c r="AI34" s="72"/>
      <c r="AJ34" s="72"/>
      <c r="AK34" s="125"/>
      <c r="AL34" s="84" t="s">
        <v>358</v>
      </c>
      <c r="AM34" s="85" t="s">
        <v>359</v>
      </c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</row>
    <row r="35" spans="1:52" s="14" customFormat="1" ht="14.25" customHeight="1" x14ac:dyDescent="0.25">
      <c r="A35" s="137"/>
      <c r="B35" s="130" t="s">
        <v>330</v>
      </c>
      <c r="C35" s="80" t="s">
        <v>350</v>
      </c>
      <c r="D35" s="80"/>
      <c r="E35" s="80" t="s">
        <v>737</v>
      </c>
      <c r="F35" s="80"/>
      <c r="G35" s="82"/>
      <c r="H35" s="80"/>
      <c r="I35" s="80"/>
      <c r="J35" s="82"/>
      <c r="K35" s="73"/>
      <c r="L35" s="73"/>
      <c r="M35" s="83"/>
      <c r="N35" s="73"/>
      <c r="O35" s="73"/>
      <c r="P35" s="83"/>
      <c r="Q35" s="73"/>
      <c r="R35" s="73"/>
      <c r="S35" s="83"/>
      <c r="T35" s="72"/>
      <c r="U35" s="72"/>
      <c r="V35" s="83"/>
      <c r="W35" s="72"/>
      <c r="X35" s="72"/>
      <c r="Y35" s="83"/>
      <c r="Z35" s="73"/>
      <c r="AA35" s="73"/>
      <c r="AB35" s="83"/>
      <c r="AC35" s="73"/>
      <c r="AD35" s="73"/>
      <c r="AE35" s="83"/>
      <c r="AF35" s="73"/>
      <c r="AG35" s="73"/>
      <c r="AH35" s="83"/>
      <c r="AI35" s="72"/>
      <c r="AJ35" s="72"/>
      <c r="AK35" s="83"/>
      <c r="AL35" s="84"/>
      <c r="AM35" s="85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</row>
    <row r="36" spans="1:52" ht="14.25" customHeight="1" x14ac:dyDescent="0.35">
      <c r="A36" s="137"/>
      <c r="B36" s="133"/>
      <c r="C36" s="80" t="s">
        <v>536</v>
      </c>
      <c r="D36" s="80" t="s">
        <v>3</v>
      </c>
      <c r="E36" s="80">
        <v>360</v>
      </c>
      <c r="F36" s="80"/>
      <c r="G36" s="130"/>
      <c r="H36" s="80"/>
      <c r="I36" s="80"/>
      <c r="J36" s="130"/>
      <c r="K36" s="73"/>
      <c r="L36" s="73"/>
      <c r="M36" s="123"/>
      <c r="N36" s="108"/>
      <c r="O36" s="72"/>
      <c r="P36" s="122"/>
      <c r="Q36" s="116"/>
      <c r="R36" s="72"/>
      <c r="S36" s="122"/>
      <c r="T36" s="72"/>
      <c r="U36" s="72"/>
      <c r="V36" s="122"/>
      <c r="W36" s="72"/>
      <c r="X36" s="72"/>
      <c r="Y36" s="122"/>
      <c r="Z36" s="72"/>
      <c r="AA36" s="72"/>
      <c r="AB36" s="122"/>
      <c r="AC36" s="72"/>
      <c r="AD36" s="72"/>
      <c r="AE36" s="122"/>
      <c r="AF36" s="72"/>
      <c r="AG36" s="72"/>
      <c r="AH36" s="122"/>
      <c r="AI36" s="72"/>
      <c r="AJ36" s="72"/>
      <c r="AK36" s="122"/>
      <c r="AL36" s="70" t="s">
        <v>361</v>
      </c>
      <c r="AM36" s="81" t="s">
        <v>362</v>
      </c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</row>
    <row r="37" spans="1:52" ht="14.25" customHeight="1" x14ac:dyDescent="0.35">
      <c r="A37" s="137"/>
      <c r="B37" s="133"/>
      <c r="C37" s="80" t="s">
        <v>535</v>
      </c>
      <c r="D37" s="80" t="s">
        <v>542</v>
      </c>
      <c r="E37" s="80">
        <v>2400</v>
      </c>
      <c r="F37" s="80"/>
      <c r="G37" s="133"/>
      <c r="H37" s="80"/>
      <c r="I37" s="80"/>
      <c r="J37" s="133"/>
      <c r="K37" s="73"/>
      <c r="L37" s="73"/>
      <c r="M37" s="121"/>
      <c r="N37" s="108"/>
      <c r="O37" s="72"/>
      <c r="P37" s="118"/>
      <c r="Q37" s="116"/>
      <c r="R37" s="72"/>
      <c r="S37" s="118"/>
      <c r="T37" s="72"/>
      <c r="U37" s="72"/>
      <c r="V37" s="118"/>
      <c r="W37" s="72"/>
      <c r="X37" s="72"/>
      <c r="Y37" s="118"/>
      <c r="Z37" s="72"/>
      <c r="AA37" s="72"/>
      <c r="AB37" s="118"/>
      <c r="AC37" s="72"/>
      <c r="AD37" s="72"/>
      <c r="AE37" s="118"/>
      <c r="AF37" s="72"/>
      <c r="AG37" s="72"/>
      <c r="AH37" s="118"/>
      <c r="AI37" s="72"/>
      <c r="AJ37" s="72"/>
      <c r="AK37" s="118"/>
      <c r="AL37" s="70"/>
      <c r="AM37" s="81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</row>
    <row r="38" spans="1:52" ht="14.25" customHeight="1" x14ac:dyDescent="0.35">
      <c r="A38" s="137"/>
      <c r="B38" s="133"/>
      <c r="C38" s="80" t="s">
        <v>589</v>
      </c>
      <c r="D38" s="80" t="s">
        <v>590</v>
      </c>
      <c r="E38" s="80">
        <v>415</v>
      </c>
      <c r="F38" s="80"/>
      <c r="G38" s="133"/>
      <c r="H38" s="80"/>
      <c r="I38" s="80"/>
      <c r="J38" s="133"/>
      <c r="K38" s="73"/>
      <c r="L38" s="73"/>
      <c r="M38" s="121"/>
      <c r="N38" s="108"/>
      <c r="O38" s="72"/>
      <c r="P38" s="118"/>
      <c r="Q38" s="116"/>
      <c r="R38" s="72"/>
      <c r="S38" s="118"/>
      <c r="T38" s="72"/>
      <c r="U38" s="72"/>
      <c r="V38" s="118"/>
      <c r="W38" s="72"/>
      <c r="X38" s="72"/>
      <c r="Y38" s="118"/>
      <c r="Z38" s="72"/>
      <c r="AA38" s="72"/>
      <c r="AB38" s="118"/>
      <c r="AC38" s="72"/>
      <c r="AD38" s="72"/>
      <c r="AE38" s="118"/>
      <c r="AF38" s="72"/>
      <c r="AG38" s="72"/>
      <c r="AH38" s="118"/>
      <c r="AI38" s="72"/>
      <c r="AJ38" s="72"/>
      <c r="AK38" s="118"/>
      <c r="AL38" s="70"/>
      <c r="AM38" s="81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</row>
    <row r="39" spans="1:52" ht="14.25" customHeight="1" x14ac:dyDescent="0.35">
      <c r="A39" s="137"/>
      <c r="B39" s="133"/>
      <c r="C39" s="80" t="s">
        <v>588</v>
      </c>
      <c r="D39" s="80"/>
      <c r="E39" s="80" t="s">
        <v>738</v>
      </c>
      <c r="F39" s="80"/>
      <c r="G39" s="133"/>
      <c r="H39" s="80"/>
      <c r="I39" s="80"/>
      <c r="J39" s="133"/>
      <c r="K39" s="73"/>
      <c r="L39" s="73"/>
      <c r="M39" s="121"/>
      <c r="N39" s="108"/>
      <c r="O39" s="72"/>
      <c r="P39" s="118"/>
      <c r="Q39" s="116"/>
      <c r="R39" s="72"/>
      <c r="S39" s="118"/>
      <c r="T39" s="72"/>
      <c r="U39" s="72"/>
      <c r="V39" s="118"/>
      <c r="W39" s="72"/>
      <c r="X39" s="72"/>
      <c r="Y39" s="118"/>
      <c r="Z39" s="72"/>
      <c r="AA39" s="72"/>
      <c r="AB39" s="118"/>
      <c r="AC39" s="72"/>
      <c r="AD39" s="72"/>
      <c r="AE39" s="118"/>
      <c r="AF39" s="72"/>
      <c r="AG39" s="72"/>
      <c r="AH39" s="118"/>
      <c r="AI39" s="72"/>
      <c r="AJ39" s="72"/>
      <c r="AK39" s="118"/>
      <c r="AL39" s="70"/>
      <c r="AM39" s="81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</row>
    <row r="40" spans="1:52" ht="14.25" customHeight="1" x14ac:dyDescent="0.35">
      <c r="A40" s="137"/>
      <c r="B40" s="133"/>
      <c r="C40" s="80" t="s">
        <v>540</v>
      </c>
      <c r="D40" s="80"/>
      <c r="E40" s="80">
        <v>12</v>
      </c>
      <c r="F40" s="80"/>
      <c r="G40" s="133"/>
      <c r="H40" s="80"/>
      <c r="I40" s="80"/>
      <c r="J40" s="133"/>
      <c r="K40" s="73"/>
      <c r="L40" s="73"/>
      <c r="M40" s="121"/>
      <c r="N40" s="108"/>
      <c r="O40" s="72"/>
      <c r="P40" s="118"/>
      <c r="Q40" s="116"/>
      <c r="R40" s="72"/>
      <c r="S40" s="118"/>
      <c r="T40" s="72"/>
      <c r="U40" s="72"/>
      <c r="V40" s="118"/>
      <c r="W40" s="72"/>
      <c r="X40" s="72"/>
      <c r="Y40" s="118"/>
      <c r="Z40" s="72"/>
      <c r="AA40" s="72"/>
      <c r="AB40" s="118"/>
      <c r="AC40" s="72"/>
      <c r="AD40" s="72"/>
      <c r="AE40" s="118"/>
      <c r="AF40" s="72"/>
      <c r="AG40" s="72"/>
      <c r="AH40" s="118"/>
      <c r="AI40" s="72"/>
      <c r="AJ40" s="72"/>
      <c r="AK40" s="118"/>
      <c r="AL40" s="70"/>
      <c r="AM40" s="81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</row>
    <row r="41" spans="1:52" ht="14.25" customHeight="1" x14ac:dyDescent="0.35">
      <c r="A41" s="137"/>
      <c r="B41" s="133"/>
      <c r="C41" s="80" t="s">
        <v>541</v>
      </c>
      <c r="D41" s="80"/>
      <c r="E41" s="80">
        <v>2</v>
      </c>
      <c r="F41" s="80"/>
      <c r="G41" s="133"/>
      <c r="H41" s="80"/>
      <c r="I41" s="80"/>
      <c r="J41" s="133"/>
      <c r="K41" s="73"/>
      <c r="L41" s="73"/>
      <c r="M41" s="121"/>
      <c r="N41" s="108"/>
      <c r="O41" s="72"/>
      <c r="P41" s="118"/>
      <c r="Q41" s="116"/>
      <c r="R41" s="72"/>
      <c r="S41" s="118"/>
      <c r="T41" s="72"/>
      <c r="U41" s="72"/>
      <c r="V41" s="118"/>
      <c r="W41" s="72"/>
      <c r="X41" s="72"/>
      <c r="Y41" s="118"/>
      <c r="Z41" s="72"/>
      <c r="AA41" s="72"/>
      <c r="AB41" s="118"/>
      <c r="AC41" s="72"/>
      <c r="AD41" s="72"/>
      <c r="AE41" s="118"/>
      <c r="AF41" s="72"/>
      <c r="AG41" s="72"/>
      <c r="AH41" s="118"/>
      <c r="AI41" s="72"/>
      <c r="AJ41" s="72"/>
      <c r="AK41" s="118"/>
      <c r="AL41" s="70"/>
      <c r="AM41" s="81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</row>
    <row r="42" spans="1:52" ht="14.25" customHeight="1" x14ac:dyDescent="0.35">
      <c r="A42" s="137"/>
      <c r="B42" s="133"/>
      <c r="C42" s="80" t="s">
        <v>543</v>
      </c>
      <c r="D42" s="80" t="s">
        <v>544</v>
      </c>
      <c r="E42" s="80"/>
      <c r="F42" s="80"/>
      <c r="G42" s="133"/>
      <c r="H42" s="80"/>
      <c r="I42" s="80"/>
      <c r="J42" s="133"/>
      <c r="K42" s="73"/>
      <c r="L42" s="73"/>
      <c r="M42" s="121"/>
      <c r="N42" s="108"/>
      <c r="O42" s="72"/>
      <c r="P42" s="118"/>
      <c r="Q42" s="116"/>
      <c r="R42" s="72"/>
      <c r="S42" s="118"/>
      <c r="T42" s="72"/>
      <c r="U42" s="72"/>
      <c r="V42" s="118"/>
      <c r="W42" s="72"/>
      <c r="X42" s="72"/>
      <c r="Y42" s="118"/>
      <c r="Z42" s="72"/>
      <c r="AA42" s="72"/>
      <c r="AB42" s="118"/>
      <c r="AC42" s="72"/>
      <c r="AD42" s="72"/>
      <c r="AE42" s="118"/>
      <c r="AF42" s="72"/>
      <c r="AG42" s="72"/>
      <c r="AH42" s="118"/>
      <c r="AI42" s="72"/>
      <c r="AJ42" s="72"/>
      <c r="AK42" s="118"/>
      <c r="AL42" s="70"/>
      <c r="AM42" s="81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</row>
    <row r="43" spans="1:52" ht="14.25" customHeight="1" x14ac:dyDescent="0.35">
      <c r="A43" s="137"/>
      <c r="B43" s="133"/>
      <c r="C43" s="80" t="s">
        <v>593</v>
      </c>
      <c r="D43" s="80"/>
      <c r="E43" s="80">
        <v>5</v>
      </c>
      <c r="F43" s="80"/>
      <c r="G43" s="133"/>
      <c r="H43" s="80"/>
      <c r="I43" s="80"/>
      <c r="J43" s="133"/>
      <c r="K43" s="73"/>
      <c r="L43" s="73"/>
      <c r="M43" s="121"/>
      <c r="N43" s="108"/>
      <c r="O43" s="72"/>
      <c r="P43" s="118"/>
      <c r="Q43" s="116"/>
      <c r="R43" s="72"/>
      <c r="S43" s="118"/>
      <c r="T43" s="72"/>
      <c r="U43" s="72"/>
      <c r="V43" s="118"/>
      <c r="W43" s="72"/>
      <c r="X43" s="72"/>
      <c r="Y43" s="118"/>
      <c r="Z43" s="72"/>
      <c r="AA43" s="72"/>
      <c r="AB43" s="118"/>
      <c r="AC43" s="72"/>
      <c r="AD43" s="72"/>
      <c r="AE43" s="118"/>
      <c r="AF43" s="72"/>
      <c r="AG43" s="72"/>
      <c r="AH43" s="118"/>
      <c r="AI43" s="72"/>
      <c r="AJ43" s="72"/>
      <c r="AK43" s="118"/>
      <c r="AL43" s="70"/>
      <c r="AM43" s="81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</row>
    <row r="44" spans="1:52" ht="14.25" customHeight="1" x14ac:dyDescent="0.35">
      <c r="A44" s="137"/>
      <c r="B44" s="133"/>
      <c r="C44" s="80" t="s">
        <v>594</v>
      </c>
      <c r="D44" s="80"/>
      <c r="E44" s="80">
        <v>4</v>
      </c>
      <c r="F44" s="80"/>
      <c r="G44" s="133"/>
      <c r="H44" s="80"/>
      <c r="I44" s="80"/>
      <c r="J44" s="133"/>
      <c r="K44" s="73"/>
      <c r="L44" s="73"/>
      <c r="M44" s="121"/>
      <c r="N44" s="108"/>
      <c r="O44" s="72"/>
      <c r="P44" s="118"/>
      <c r="Q44" s="116"/>
      <c r="R44" s="72"/>
      <c r="S44" s="118"/>
      <c r="T44" s="72"/>
      <c r="U44" s="72"/>
      <c r="V44" s="118"/>
      <c r="W44" s="72"/>
      <c r="X44" s="72"/>
      <c r="Y44" s="118"/>
      <c r="Z44" s="72"/>
      <c r="AA44" s="72"/>
      <c r="AB44" s="118"/>
      <c r="AC44" s="72"/>
      <c r="AD44" s="72"/>
      <c r="AE44" s="118"/>
      <c r="AF44" s="72"/>
      <c r="AG44" s="72"/>
      <c r="AH44" s="118"/>
      <c r="AI44" s="72"/>
      <c r="AJ44" s="72"/>
      <c r="AK44" s="118"/>
      <c r="AL44" s="70"/>
      <c r="AM44" s="81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</row>
    <row r="45" spans="1:52" ht="14.25" customHeight="1" x14ac:dyDescent="0.35">
      <c r="A45" s="137"/>
      <c r="B45" s="133"/>
      <c r="C45" s="80" t="s">
        <v>595</v>
      </c>
      <c r="D45" s="80"/>
      <c r="E45" s="80">
        <v>5</v>
      </c>
      <c r="F45" s="80"/>
      <c r="G45" s="133"/>
      <c r="H45" s="80"/>
      <c r="I45" s="80"/>
      <c r="J45" s="133"/>
      <c r="K45" s="73"/>
      <c r="L45" s="73"/>
      <c r="M45" s="121"/>
      <c r="N45" s="108"/>
      <c r="O45" s="72"/>
      <c r="P45" s="118"/>
      <c r="Q45" s="116"/>
      <c r="R45" s="72"/>
      <c r="S45" s="118"/>
      <c r="T45" s="72"/>
      <c r="U45" s="72"/>
      <c r="V45" s="118"/>
      <c r="W45" s="72"/>
      <c r="X45" s="72"/>
      <c r="Y45" s="118"/>
      <c r="Z45" s="72"/>
      <c r="AA45" s="72"/>
      <c r="AB45" s="118"/>
      <c r="AC45" s="72"/>
      <c r="AD45" s="72"/>
      <c r="AE45" s="118"/>
      <c r="AF45" s="72"/>
      <c r="AG45" s="72"/>
      <c r="AH45" s="118"/>
      <c r="AI45" s="72"/>
      <c r="AJ45" s="72"/>
      <c r="AK45" s="118"/>
      <c r="AL45" s="70"/>
      <c r="AM45" s="81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</row>
    <row r="46" spans="1:52" ht="14.25" customHeight="1" x14ac:dyDescent="0.35">
      <c r="A46" s="137"/>
      <c r="B46" s="133"/>
      <c r="C46" s="80" t="s">
        <v>740</v>
      </c>
      <c r="D46" s="80" t="s">
        <v>1</v>
      </c>
      <c r="E46" s="80">
        <v>150</v>
      </c>
      <c r="F46" s="80"/>
      <c r="G46" s="133"/>
      <c r="H46" s="80"/>
      <c r="I46" s="80"/>
      <c r="J46" s="133"/>
      <c r="K46" s="73"/>
      <c r="L46" s="73"/>
      <c r="M46" s="121"/>
      <c r="N46" s="108"/>
      <c r="O46" s="72"/>
      <c r="P46" s="118"/>
      <c r="Q46" s="116"/>
      <c r="R46" s="72"/>
      <c r="S46" s="118"/>
      <c r="T46" s="72"/>
      <c r="U46" s="72"/>
      <c r="V46" s="118"/>
      <c r="W46" s="72"/>
      <c r="X46" s="72"/>
      <c r="Y46" s="118"/>
      <c r="Z46" s="72"/>
      <c r="AA46" s="72"/>
      <c r="AB46" s="118"/>
      <c r="AC46" s="72"/>
      <c r="AD46" s="72"/>
      <c r="AE46" s="118"/>
      <c r="AF46" s="72"/>
      <c r="AG46" s="72"/>
      <c r="AH46" s="118"/>
      <c r="AI46" s="72"/>
      <c r="AJ46" s="72"/>
      <c r="AK46" s="118"/>
      <c r="AL46" s="70"/>
      <c r="AM46" s="81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</row>
    <row r="47" spans="1:52" ht="14.25" customHeight="1" x14ac:dyDescent="0.35">
      <c r="A47" s="137"/>
      <c r="B47" s="133"/>
      <c r="C47" s="80" t="s">
        <v>741</v>
      </c>
      <c r="D47" s="80" t="s">
        <v>1</v>
      </c>
      <c r="E47" s="80">
        <v>150</v>
      </c>
      <c r="F47" s="80"/>
      <c r="G47" s="133"/>
      <c r="H47" s="80"/>
      <c r="I47" s="80"/>
      <c r="J47" s="133"/>
      <c r="K47" s="73"/>
      <c r="L47" s="73"/>
      <c r="M47" s="121"/>
      <c r="N47" s="108"/>
      <c r="O47" s="72"/>
      <c r="P47" s="118"/>
      <c r="Q47" s="116"/>
      <c r="R47" s="72"/>
      <c r="S47" s="118"/>
      <c r="T47" s="72"/>
      <c r="U47" s="72"/>
      <c r="V47" s="118"/>
      <c r="W47" s="72"/>
      <c r="X47" s="72"/>
      <c r="Y47" s="118"/>
      <c r="Z47" s="72"/>
      <c r="AA47" s="72"/>
      <c r="AB47" s="118"/>
      <c r="AC47" s="72"/>
      <c r="AD47" s="72"/>
      <c r="AE47" s="118"/>
      <c r="AF47" s="72"/>
      <c r="AG47" s="72"/>
      <c r="AH47" s="118"/>
      <c r="AI47" s="72"/>
      <c r="AJ47" s="72"/>
      <c r="AK47" s="118"/>
      <c r="AL47" s="70"/>
      <c r="AM47" s="81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</row>
    <row r="48" spans="1:52" x14ac:dyDescent="0.35">
      <c r="A48" s="137"/>
      <c r="B48" s="131"/>
      <c r="C48" s="80" t="s">
        <v>545</v>
      </c>
      <c r="D48" s="80" t="s">
        <v>544</v>
      </c>
      <c r="E48" s="72"/>
      <c r="F48" s="72"/>
      <c r="G48" s="131"/>
      <c r="H48" s="72"/>
      <c r="I48" s="72"/>
      <c r="J48" s="131"/>
      <c r="K48" s="72"/>
      <c r="L48" s="72"/>
      <c r="M48" s="132"/>
      <c r="N48" s="108"/>
      <c r="O48" s="72"/>
      <c r="P48" s="125"/>
      <c r="Q48" s="116"/>
      <c r="R48" s="72"/>
      <c r="S48" s="125"/>
      <c r="T48" s="72"/>
      <c r="U48" s="72"/>
      <c r="V48" s="125"/>
      <c r="W48" s="72"/>
      <c r="X48" s="72"/>
      <c r="Y48" s="125"/>
      <c r="Z48" s="72"/>
      <c r="AA48" s="72"/>
      <c r="AB48" s="125"/>
      <c r="AC48" s="72"/>
      <c r="AD48" s="72"/>
      <c r="AE48" s="125"/>
      <c r="AF48" s="72"/>
      <c r="AG48" s="72"/>
      <c r="AH48" s="125"/>
      <c r="AI48" s="72"/>
      <c r="AJ48" s="72"/>
      <c r="AK48" s="125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</row>
    <row r="49" spans="1:52" ht="13.9" customHeight="1" x14ac:dyDescent="0.35">
      <c r="A49" s="137"/>
      <c r="B49" s="126" t="s">
        <v>610</v>
      </c>
      <c r="C49" s="80" t="s">
        <v>538</v>
      </c>
      <c r="D49" s="80" t="s">
        <v>19</v>
      </c>
      <c r="E49" s="80">
        <v>82.3</v>
      </c>
      <c r="F49" s="80"/>
      <c r="G49" s="80"/>
      <c r="H49" s="80"/>
      <c r="I49" s="80"/>
      <c r="J49" s="80"/>
      <c r="K49" s="72"/>
      <c r="L49" s="72"/>
      <c r="M49" s="72"/>
      <c r="N49" s="109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</row>
    <row r="50" spans="1:52" ht="13.9" customHeight="1" x14ac:dyDescent="0.35">
      <c r="A50" s="137"/>
      <c r="B50" s="126"/>
      <c r="C50" s="80" t="s">
        <v>539</v>
      </c>
      <c r="D50" s="80" t="s">
        <v>19</v>
      </c>
      <c r="E50" s="80">
        <v>82.3</v>
      </c>
      <c r="F50" s="80"/>
      <c r="G50" s="80"/>
      <c r="H50" s="80"/>
      <c r="I50" s="80"/>
      <c r="J50" s="80"/>
      <c r="K50" s="72"/>
      <c r="L50" s="72"/>
      <c r="M50" s="72"/>
      <c r="N50" s="109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</row>
    <row r="51" spans="1:52" ht="13.9" customHeight="1" x14ac:dyDescent="0.35">
      <c r="A51" s="137"/>
      <c r="B51" s="126"/>
      <c r="C51" s="80" t="s">
        <v>569</v>
      </c>
      <c r="D51" s="80" t="s">
        <v>627</v>
      </c>
      <c r="E51" s="80">
        <v>130</v>
      </c>
      <c r="F51" s="80"/>
      <c r="G51" s="80"/>
      <c r="H51" s="80"/>
      <c r="I51" s="80"/>
      <c r="J51" s="80"/>
      <c r="K51" s="72"/>
      <c r="L51" s="72"/>
      <c r="M51" s="72"/>
      <c r="N51" s="109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</row>
    <row r="52" spans="1:52" ht="15.75" customHeight="1" thickBot="1" x14ac:dyDescent="0.4">
      <c r="A52" s="137"/>
      <c r="B52" s="126"/>
      <c r="C52" s="80" t="s">
        <v>570</v>
      </c>
      <c r="D52" s="80" t="s">
        <v>627</v>
      </c>
      <c r="E52" s="80">
        <v>130</v>
      </c>
      <c r="F52" s="80"/>
      <c r="G52" s="80"/>
      <c r="H52" s="80"/>
      <c r="I52" s="80"/>
      <c r="J52" s="80"/>
      <c r="K52" s="72"/>
      <c r="L52" s="72"/>
      <c r="M52" s="72"/>
      <c r="N52" s="109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</row>
    <row r="53" spans="1:52" ht="28.5" customHeight="1" x14ac:dyDescent="0.35">
      <c r="A53" s="137"/>
      <c r="B53" s="126" t="s">
        <v>546</v>
      </c>
      <c r="C53" s="80" t="s">
        <v>547</v>
      </c>
      <c r="D53" s="80" t="s">
        <v>0</v>
      </c>
      <c r="E53" s="72"/>
      <c r="F53" s="72"/>
      <c r="G53" s="122"/>
      <c r="H53" s="72"/>
      <c r="I53" s="72"/>
      <c r="J53" s="122"/>
      <c r="K53" s="72"/>
      <c r="L53" s="72"/>
      <c r="M53" s="122"/>
      <c r="N53" s="109"/>
      <c r="O53" s="72"/>
      <c r="P53" s="122"/>
      <c r="Q53" s="72"/>
      <c r="R53" s="72"/>
      <c r="S53" s="122"/>
      <c r="T53" s="72"/>
      <c r="U53" s="72"/>
      <c r="V53" s="122"/>
      <c r="W53" s="72"/>
      <c r="X53" s="72"/>
      <c r="Y53" s="122"/>
      <c r="Z53" s="73"/>
      <c r="AA53" s="73"/>
      <c r="AB53" s="123"/>
      <c r="AC53" s="73"/>
      <c r="AD53" s="73"/>
      <c r="AE53" s="123"/>
      <c r="AF53" s="73"/>
      <c r="AG53" s="73"/>
      <c r="AH53" s="123"/>
      <c r="AI53" s="72"/>
      <c r="AJ53" s="72"/>
      <c r="AK53" s="122"/>
      <c r="AL53" s="70"/>
      <c r="AM53" s="86"/>
      <c r="AN53" s="87" t="s">
        <v>4</v>
      </c>
      <c r="AO53" s="87" t="s">
        <v>5</v>
      </c>
      <c r="AP53" s="87" t="s">
        <v>6</v>
      </c>
      <c r="AQ53" s="87" t="s">
        <v>7</v>
      </c>
      <c r="AR53" s="87" t="s">
        <v>8</v>
      </c>
      <c r="AS53" s="87" t="s">
        <v>9</v>
      </c>
      <c r="AT53" s="87" t="s">
        <v>10</v>
      </c>
      <c r="AU53" s="87" t="s">
        <v>11</v>
      </c>
      <c r="AV53" s="87" t="s">
        <v>12</v>
      </c>
      <c r="AW53" s="87" t="s">
        <v>13</v>
      </c>
      <c r="AX53" s="88" t="s">
        <v>14</v>
      </c>
      <c r="AY53" s="70"/>
      <c r="AZ53" s="70"/>
    </row>
    <row r="54" spans="1:52" ht="13.9" customHeight="1" x14ac:dyDescent="0.35">
      <c r="A54" s="137"/>
      <c r="B54" s="126"/>
      <c r="C54" s="80" t="s">
        <v>634</v>
      </c>
      <c r="D54" s="80" t="s">
        <v>0</v>
      </c>
      <c r="E54" s="80"/>
      <c r="F54" s="80"/>
      <c r="G54" s="118"/>
      <c r="H54" s="80"/>
      <c r="I54" s="80"/>
      <c r="J54" s="118"/>
      <c r="K54" s="72"/>
      <c r="L54" s="72"/>
      <c r="M54" s="118"/>
      <c r="N54" s="109"/>
      <c r="O54" s="72"/>
      <c r="P54" s="118"/>
      <c r="Q54" s="72"/>
      <c r="R54" s="72"/>
      <c r="S54" s="118"/>
      <c r="T54" s="72"/>
      <c r="U54" s="72"/>
      <c r="V54" s="118"/>
      <c r="W54" s="72"/>
      <c r="X54" s="72"/>
      <c r="Y54" s="118"/>
      <c r="Z54" s="72"/>
      <c r="AA54" s="72"/>
      <c r="AB54" s="121"/>
      <c r="AC54" s="72"/>
      <c r="AD54" s="72"/>
      <c r="AE54" s="121"/>
      <c r="AF54" s="72"/>
      <c r="AG54" s="72"/>
      <c r="AH54" s="121"/>
      <c r="AI54" s="72"/>
      <c r="AJ54" s="72"/>
      <c r="AK54" s="118"/>
      <c r="AL54" s="70"/>
      <c r="AM54" s="89" t="s">
        <v>320</v>
      </c>
      <c r="AN54" s="90">
        <v>2</v>
      </c>
      <c r="AO54" s="90">
        <v>3</v>
      </c>
      <c r="AP54" s="90">
        <v>2.5</v>
      </c>
      <c r="AQ54" s="90">
        <v>3</v>
      </c>
      <c r="AR54" s="90">
        <v>2</v>
      </c>
      <c r="AS54" s="90">
        <v>3.5</v>
      </c>
      <c r="AT54" s="90">
        <v>3</v>
      </c>
      <c r="AU54" s="90">
        <v>3.5</v>
      </c>
      <c r="AV54" s="90">
        <v>2.5</v>
      </c>
      <c r="AW54" s="90">
        <v>2.5</v>
      </c>
      <c r="AX54" s="91">
        <v>2.5</v>
      </c>
      <c r="AY54" s="70"/>
      <c r="AZ54" s="70"/>
    </row>
    <row r="55" spans="1:52" ht="13.9" customHeight="1" x14ac:dyDescent="0.35">
      <c r="A55" s="137"/>
      <c r="B55" s="126"/>
      <c r="C55" s="80" t="s">
        <v>635</v>
      </c>
      <c r="D55" s="80" t="s">
        <v>0</v>
      </c>
      <c r="E55" s="80"/>
      <c r="F55" s="80"/>
      <c r="G55" s="118"/>
      <c r="H55" s="80"/>
      <c r="I55" s="80"/>
      <c r="J55" s="118"/>
      <c r="K55" s="72"/>
      <c r="L55" s="72"/>
      <c r="M55" s="118"/>
      <c r="N55" s="109"/>
      <c r="O55" s="72"/>
      <c r="P55" s="118"/>
      <c r="Q55" s="72"/>
      <c r="R55" s="72"/>
      <c r="S55" s="118"/>
      <c r="T55" s="72"/>
      <c r="U55" s="72"/>
      <c r="V55" s="118"/>
      <c r="W55" s="72"/>
      <c r="X55" s="72"/>
      <c r="Y55" s="118"/>
      <c r="Z55" s="72"/>
      <c r="AA55" s="72"/>
      <c r="AB55" s="121"/>
      <c r="AC55" s="72"/>
      <c r="AD55" s="72"/>
      <c r="AE55" s="121"/>
      <c r="AF55" s="72"/>
      <c r="AG55" s="72"/>
      <c r="AH55" s="121"/>
      <c r="AI55" s="72"/>
      <c r="AJ55" s="72"/>
      <c r="AK55" s="118"/>
      <c r="AL55" s="70"/>
      <c r="AM55" s="89" t="s">
        <v>324</v>
      </c>
      <c r="AN55" s="90">
        <v>3</v>
      </c>
      <c r="AO55" s="90">
        <v>3</v>
      </c>
      <c r="AP55" s="90">
        <v>3</v>
      </c>
      <c r="AQ55" s="90">
        <v>3</v>
      </c>
      <c r="AR55" s="90">
        <v>3</v>
      </c>
      <c r="AS55" s="90">
        <v>3</v>
      </c>
      <c r="AT55" s="90">
        <v>3</v>
      </c>
      <c r="AU55" s="90">
        <v>3</v>
      </c>
      <c r="AV55" s="90">
        <v>3</v>
      </c>
      <c r="AW55" s="90">
        <v>3</v>
      </c>
      <c r="AX55" s="91">
        <v>3</v>
      </c>
      <c r="AY55" s="70"/>
      <c r="AZ55" s="70"/>
    </row>
    <row r="56" spans="1:52" ht="13.9" customHeight="1" x14ac:dyDescent="0.35">
      <c r="A56" s="137"/>
      <c r="B56" s="126"/>
      <c r="C56" s="80" t="s">
        <v>673</v>
      </c>
      <c r="D56" s="80" t="s">
        <v>0</v>
      </c>
      <c r="E56" s="80"/>
      <c r="F56" s="80"/>
      <c r="G56" s="118"/>
      <c r="H56" s="80"/>
      <c r="I56" s="80"/>
      <c r="J56" s="118"/>
      <c r="K56" s="72"/>
      <c r="L56" s="72"/>
      <c r="M56" s="118"/>
      <c r="N56" s="109"/>
      <c r="O56" s="72"/>
      <c r="P56" s="118"/>
      <c r="Q56" s="72"/>
      <c r="R56" s="72"/>
      <c r="S56" s="118"/>
      <c r="T56" s="72"/>
      <c r="U56" s="72"/>
      <c r="V56" s="118"/>
      <c r="W56" s="72"/>
      <c r="X56" s="72"/>
      <c r="Y56" s="118"/>
      <c r="Z56" s="72"/>
      <c r="AA56" s="72"/>
      <c r="AB56" s="121"/>
      <c r="AC56" s="72"/>
      <c r="AD56" s="72"/>
      <c r="AE56" s="121"/>
      <c r="AF56" s="72"/>
      <c r="AG56" s="72"/>
      <c r="AH56" s="121"/>
      <c r="AI56" s="72"/>
      <c r="AJ56" s="72"/>
      <c r="AK56" s="118"/>
      <c r="AL56" s="70"/>
      <c r="AM56" s="89" t="s">
        <v>374</v>
      </c>
      <c r="AN56" s="90">
        <v>3.3</v>
      </c>
      <c r="AO56" s="90">
        <v>3</v>
      </c>
      <c r="AP56" s="90">
        <v>2.2999999999999998</v>
      </c>
      <c r="AQ56" s="90">
        <v>3.3</v>
      </c>
      <c r="AR56" s="90">
        <v>5</v>
      </c>
      <c r="AS56" s="90">
        <v>2.2999999999999998</v>
      </c>
      <c r="AT56" s="90">
        <v>2.2999999999999998</v>
      </c>
      <c r="AU56" s="90">
        <v>2.2000000000000002</v>
      </c>
      <c r="AV56" s="90">
        <v>3</v>
      </c>
      <c r="AW56" s="90">
        <v>3</v>
      </c>
      <c r="AX56" s="91">
        <v>3.8</v>
      </c>
      <c r="AY56" s="70"/>
      <c r="AZ56" s="70"/>
    </row>
    <row r="57" spans="1:52" ht="13.9" customHeight="1" x14ac:dyDescent="0.35">
      <c r="A57" s="137"/>
      <c r="B57" s="126"/>
      <c r="C57" s="80" t="s">
        <v>567</v>
      </c>
      <c r="D57" s="80" t="s">
        <v>142</v>
      </c>
      <c r="E57" s="80"/>
      <c r="F57" s="80"/>
      <c r="G57" s="118"/>
      <c r="H57" s="80"/>
      <c r="I57" s="80"/>
      <c r="J57" s="118"/>
      <c r="K57" s="72"/>
      <c r="L57" s="72"/>
      <c r="M57" s="118"/>
      <c r="N57" s="72"/>
      <c r="O57" s="72"/>
      <c r="P57" s="118"/>
      <c r="Q57" s="72"/>
      <c r="R57" s="72"/>
      <c r="S57" s="118"/>
      <c r="T57" s="72"/>
      <c r="U57" s="72"/>
      <c r="V57" s="118"/>
      <c r="W57" s="72"/>
      <c r="X57" s="72"/>
      <c r="Y57" s="118"/>
      <c r="Z57" s="72"/>
      <c r="AA57" s="72"/>
      <c r="AB57" s="121"/>
      <c r="AC57" s="72"/>
      <c r="AD57" s="72"/>
      <c r="AE57" s="121"/>
      <c r="AF57" s="72"/>
      <c r="AG57" s="72"/>
      <c r="AH57" s="121"/>
      <c r="AI57" s="72"/>
      <c r="AJ57" s="72"/>
      <c r="AK57" s="118"/>
      <c r="AL57" s="70"/>
      <c r="AM57" s="89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1"/>
      <c r="AY57" s="70"/>
      <c r="AZ57" s="70"/>
    </row>
    <row r="58" spans="1:52" ht="13.9" customHeight="1" x14ac:dyDescent="0.35">
      <c r="A58" s="137"/>
      <c r="B58" s="126"/>
      <c r="C58" s="80" t="s">
        <v>602</v>
      </c>
      <c r="D58" s="80" t="s">
        <v>0</v>
      </c>
      <c r="E58" s="80"/>
      <c r="F58" s="80"/>
      <c r="G58" s="118"/>
      <c r="H58" s="80"/>
      <c r="I58" s="80"/>
      <c r="J58" s="118"/>
      <c r="K58" s="72"/>
      <c r="L58" s="72"/>
      <c r="M58" s="118"/>
      <c r="N58" s="72"/>
      <c r="O58" s="72"/>
      <c r="P58" s="118"/>
      <c r="Q58" s="72"/>
      <c r="R58" s="72"/>
      <c r="S58" s="118"/>
      <c r="T58" s="72"/>
      <c r="U58" s="72"/>
      <c r="V58" s="118"/>
      <c r="W58" s="72"/>
      <c r="X58" s="72"/>
      <c r="Y58" s="118"/>
      <c r="Z58" s="72"/>
      <c r="AA58" s="72"/>
      <c r="AB58" s="121"/>
      <c r="AC58" s="72"/>
      <c r="AD58" s="72"/>
      <c r="AE58" s="121"/>
      <c r="AF58" s="72"/>
      <c r="AG58" s="72"/>
      <c r="AH58" s="121"/>
      <c r="AI58" s="72"/>
      <c r="AJ58" s="72"/>
      <c r="AK58" s="118"/>
      <c r="AL58" s="70"/>
      <c r="AM58" s="89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1"/>
      <c r="AY58" s="70"/>
      <c r="AZ58" s="70"/>
    </row>
    <row r="59" spans="1:52" ht="13.9" customHeight="1" x14ac:dyDescent="0.35">
      <c r="A59" s="137"/>
      <c r="B59" s="126"/>
      <c r="C59" s="80" t="s">
        <v>674</v>
      </c>
      <c r="D59" s="80" t="s">
        <v>0</v>
      </c>
      <c r="E59" s="80"/>
      <c r="F59" s="80"/>
      <c r="G59" s="118"/>
      <c r="H59" s="80"/>
      <c r="I59" s="80"/>
      <c r="J59" s="118"/>
      <c r="K59" s="72"/>
      <c r="L59" s="72"/>
      <c r="M59" s="118"/>
      <c r="N59" s="72"/>
      <c r="O59" s="72"/>
      <c r="P59" s="118"/>
      <c r="Q59" s="72"/>
      <c r="R59" s="72"/>
      <c r="S59" s="118"/>
      <c r="T59" s="72"/>
      <c r="U59" s="72"/>
      <c r="V59" s="118"/>
      <c r="W59" s="72"/>
      <c r="X59" s="72"/>
      <c r="Y59" s="118"/>
      <c r="Z59" s="72"/>
      <c r="AA59" s="72"/>
      <c r="AB59" s="121"/>
      <c r="AC59" s="72"/>
      <c r="AD59" s="72"/>
      <c r="AE59" s="121"/>
      <c r="AF59" s="72"/>
      <c r="AG59" s="72"/>
      <c r="AH59" s="121"/>
      <c r="AI59" s="72"/>
      <c r="AJ59" s="72"/>
      <c r="AK59" s="118"/>
      <c r="AL59" s="70"/>
      <c r="AM59" s="89" t="s">
        <v>330</v>
      </c>
      <c r="AN59" s="90">
        <v>5</v>
      </c>
      <c r="AO59" s="90">
        <v>5</v>
      </c>
      <c r="AP59" s="90">
        <v>5</v>
      </c>
      <c r="AQ59" s="90">
        <v>3</v>
      </c>
      <c r="AR59" s="90">
        <v>1</v>
      </c>
      <c r="AS59" s="90">
        <v>1</v>
      </c>
      <c r="AT59" s="90">
        <v>1</v>
      </c>
      <c r="AU59" s="90">
        <v>1</v>
      </c>
      <c r="AV59" s="90">
        <v>1</v>
      </c>
      <c r="AW59" s="90">
        <v>1</v>
      </c>
      <c r="AX59" s="91">
        <v>3</v>
      </c>
      <c r="AY59" s="70"/>
      <c r="AZ59" s="70"/>
    </row>
    <row r="60" spans="1:52" ht="13.9" customHeight="1" x14ac:dyDescent="0.35">
      <c r="A60" s="137"/>
      <c r="B60" s="126"/>
      <c r="C60" s="80" t="s">
        <v>561</v>
      </c>
      <c r="D60" s="80" t="s">
        <v>0</v>
      </c>
      <c r="E60" s="80"/>
      <c r="F60" s="80"/>
      <c r="G60" s="118"/>
      <c r="H60" s="80"/>
      <c r="I60" s="80"/>
      <c r="J60" s="118"/>
      <c r="K60" s="72"/>
      <c r="L60" s="72"/>
      <c r="M60" s="118"/>
      <c r="N60" s="72"/>
      <c r="O60" s="72"/>
      <c r="P60" s="118"/>
      <c r="Q60" s="72"/>
      <c r="R60" s="72"/>
      <c r="S60" s="118"/>
      <c r="T60" s="72"/>
      <c r="U60" s="72"/>
      <c r="V60" s="118"/>
      <c r="W60" s="72"/>
      <c r="X60" s="72"/>
      <c r="Y60" s="118"/>
      <c r="Z60" s="72"/>
      <c r="AA60" s="72"/>
      <c r="AB60" s="121"/>
      <c r="AC60" s="72"/>
      <c r="AD60" s="72"/>
      <c r="AE60" s="121"/>
      <c r="AF60" s="72"/>
      <c r="AG60" s="72"/>
      <c r="AH60" s="121"/>
      <c r="AI60" s="72"/>
      <c r="AJ60" s="72"/>
      <c r="AK60" s="118"/>
      <c r="AL60" s="70"/>
      <c r="AM60" s="89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1"/>
      <c r="AY60" s="70"/>
      <c r="AZ60" s="70"/>
    </row>
    <row r="61" spans="1:52" ht="13.9" customHeight="1" x14ac:dyDescent="0.35">
      <c r="A61" s="137"/>
      <c r="B61" s="126"/>
      <c r="C61" s="80" t="s">
        <v>562</v>
      </c>
      <c r="D61" s="80" t="s">
        <v>142</v>
      </c>
      <c r="E61" s="80"/>
      <c r="F61" s="80"/>
      <c r="G61" s="118"/>
      <c r="H61" s="80"/>
      <c r="I61" s="80"/>
      <c r="J61" s="118"/>
      <c r="K61" s="72"/>
      <c r="L61" s="72"/>
      <c r="M61" s="118"/>
      <c r="N61" s="108"/>
      <c r="O61" s="72"/>
      <c r="P61" s="118"/>
      <c r="Q61" s="116"/>
      <c r="R61" s="72"/>
      <c r="S61" s="118"/>
      <c r="T61" s="72"/>
      <c r="U61" s="72"/>
      <c r="V61" s="118"/>
      <c r="W61" s="72"/>
      <c r="X61" s="72"/>
      <c r="Y61" s="118"/>
      <c r="Z61" s="72"/>
      <c r="AA61" s="72"/>
      <c r="AB61" s="121"/>
      <c r="AC61" s="72"/>
      <c r="AD61" s="72"/>
      <c r="AE61" s="121"/>
      <c r="AF61" s="72"/>
      <c r="AG61" s="72"/>
      <c r="AH61" s="121"/>
      <c r="AI61" s="72"/>
      <c r="AJ61" s="72"/>
      <c r="AK61" s="118"/>
      <c r="AL61" s="70"/>
      <c r="AM61" s="89" t="s">
        <v>333</v>
      </c>
      <c r="AN61" s="90">
        <v>3.3</v>
      </c>
      <c r="AO61" s="90">
        <v>3.6</v>
      </c>
      <c r="AP61" s="90">
        <v>3.6</v>
      </c>
      <c r="AQ61" s="90">
        <v>3</v>
      </c>
      <c r="AR61" s="90">
        <v>3</v>
      </c>
      <c r="AS61" s="90">
        <v>2.2999999999999998</v>
      </c>
      <c r="AT61" s="90">
        <v>2.2999999999999998</v>
      </c>
      <c r="AU61" s="90">
        <v>1.7</v>
      </c>
      <c r="AV61" s="90">
        <v>2.7</v>
      </c>
      <c r="AW61" s="90">
        <v>2</v>
      </c>
      <c r="AX61" s="91">
        <v>3.8</v>
      </c>
      <c r="AY61" s="70"/>
      <c r="AZ61" s="70"/>
    </row>
    <row r="62" spans="1:52" ht="13.9" customHeight="1" x14ac:dyDescent="0.35">
      <c r="A62" s="137"/>
      <c r="B62" s="126"/>
      <c r="C62" s="80"/>
      <c r="D62" s="80" t="s">
        <v>0</v>
      </c>
      <c r="E62" s="80"/>
      <c r="F62" s="80"/>
      <c r="G62" s="118"/>
      <c r="H62" s="80"/>
      <c r="I62" s="80"/>
      <c r="J62" s="118"/>
      <c r="K62" s="73"/>
      <c r="L62" s="73"/>
      <c r="M62" s="118"/>
      <c r="N62" s="109"/>
      <c r="O62" s="72"/>
      <c r="P62" s="118"/>
      <c r="Q62" s="109"/>
      <c r="R62" s="72"/>
      <c r="S62" s="118"/>
      <c r="T62" s="72"/>
      <c r="U62" s="72"/>
      <c r="V62" s="118"/>
      <c r="W62" s="72"/>
      <c r="X62" s="72"/>
      <c r="Y62" s="118"/>
      <c r="Z62" s="72"/>
      <c r="AA62" s="72"/>
      <c r="AB62" s="121"/>
      <c r="AC62" s="72"/>
      <c r="AD62" s="72"/>
      <c r="AE62" s="121"/>
      <c r="AF62" s="72"/>
      <c r="AG62" s="72"/>
      <c r="AH62" s="121"/>
      <c r="AI62" s="72"/>
      <c r="AJ62" s="72"/>
      <c r="AK62" s="118"/>
      <c r="AL62" s="70"/>
      <c r="AM62" s="89" t="s">
        <v>336</v>
      </c>
      <c r="AN62" s="90">
        <v>3</v>
      </c>
      <c r="AO62" s="90">
        <v>3.5</v>
      </c>
      <c r="AP62" s="90">
        <v>3.5</v>
      </c>
      <c r="AQ62" s="90">
        <v>4</v>
      </c>
      <c r="AR62" s="90">
        <v>2</v>
      </c>
      <c r="AS62" s="90">
        <v>3</v>
      </c>
      <c r="AT62" s="90">
        <v>4.3</v>
      </c>
      <c r="AU62" s="90">
        <v>2</v>
      </c>
      <c r="AV62" s="90">
        <v>2.2999999999999998</v>
      </c>
      <c r="AW62" s="90">
        <v>2</v>
      </c>
      <c r="AX62" s="91">
        <v>2</v>
      </c>
      <c r="AY62" s="70"/>
      <c r="AZ62" s="70"/>
    </row>
    <row r="63" spans="1:52" ht="13.9" customHeight="1" x14ac:dyDescent="0.35">
      <c r="A63" s="137"/>
      <c r="B63" s="126"/>
      <c r="C63" s="80"/>
      <c r="D63" s="80" t="s">
        <v>0</v>
      </c>
      <c r="E63" s="72"/>
      <c r="F63" s="72"/>
      <c r="G63" s="118"/>
      <c r="H63" s="80"/>
      <c r="I63" s="80"/>
      <c r="J63" s="118"/>
      <c r="K63" s="72"/>
      <c r="L63" s="72"/>
      <c r="M63" s="118"/>
      <c r="N63" s="108"/>
      <c r="O63" s="72"/>
      <c r="P63" s="118"/>
      <c r="Q63" s="116"/>
      <c r="R63" s="72"/>
      <c r="S63" s="118"/>
      <c r="T63" s="72"/>
      <c r="U63" s="72"/>
      <c r="V63" s="118"/>
      <c r="W63" s="72"/>
      <c r="X63" s="72"/>
      <c r="Y63" s="118"/>
      <c r="Z63" s="72"/>
      <c r="AA63" s="72"/>
      <c r="AB63" s="121"/>
      <c r="AC63" s="72"/>
      <c r="AD63" s="72"/>
      <c r="AE63" s="121"/>
      <c r="AF63" s="72"/>
      <c r="AG63" s="72"/>
      <c r="AH63" s="121"/>
      <c r="AI63" s="72"/>
      <c r="AJ63" s="72"/>
      <c r="AK63" s="118"/>
      <c r="AL63" s="70"/>
      <c r="AM63" s="89" t="s">
        <v>339</v>
      </c>
      <c r="AN63" s="90">
        <v>3</v>
      </c>
      <c r="AO63" s="90">
        <v>3</v>
      </c>
      <c r="AP63" s="90">
        <v>3</v>
      </c>
      <c r="AQ63" s="90">
        <v>3</v>
      </c>
      <c r="AR63" s="90">
        <v>3</v>
      </c>
      <c r="AS63" s="90">
        <v>3</v>
      </c>
      <c r="AT63" s="90">
        <v>3</v>
      </c>
      <c r="AU63" s="90">
        <v>3</v>
      </c>
      <c r="AV63" s="90">
        <v>1</v>
      </c>
      <c r="AW63" s="90">
        <v>1</v>
      </c>
      <c r="AX63" s="91">
        <v>5</v>
      </c>
      <c r="AY63" s="70"/>
      <c r="AZ63" s="70"/>
    </row>
    <row r="64" spans="1:52" ht="15" customHeight="1" x14ac:dyDescent="0.35">
      <c r="A64" s="137"/>
      <c r="B64" s="126"/>
      <c r="D64" s="80" t="s">
        <v>0</v>
      </c>
      <c r="E64" s="72"/>
      <c r="F64" s="72"/>
      <c r="G64" s="125"/>
      <c r="H64" s="80"/>
      <c r="I64" s="80"/>
      <c r="J64" s="125"/>
      <c r="K64" s="72"/>
      <c r="L64" s="72"/>
      <c r="M64" s="125"/>
      <c r="N64" s="109"/>
      <c r="O64" s="72"/>
      <c r="P64" s="125"/>
      <c r="Q64" s="109"/>
      <c r="R64" s="72"/>
      <c r="S64" s="125"/>
      <c r="T64" s="72"/>
      <c r="U64" s="72"/>
      <c r="V64" s="125"/>
      <c r="W64" s="72"/>
      <c r="X64" s="72"/>
      <c r="Y64" s="125"/>
      <c r="Z64" s="72"/>
      <c r="AA64" s="72"/>
      <c r="AB64" s="132"/>
      <c r="AC64" s="72"/>
      <c r="AD64" s="72"/>
      <c r="AE64" s="132"/>
      <c r="AF64" s="72"/>
      <c r="AG64" s="72"/>
      <c r="AH64" s="132"/>
      <c r="AI64" s="72"/>
      <c r="AJ64" s="72"/>
      <c r="AK64" s="125"/>
      <c r="AL64" s="70"/>
      <c r="AM64" s="89" t="s">
        <v>342</v>
      </c>
      <c r="AN64" s="90">
        <v>4</v>
      </c>
      <c r="AO64" s="90">
        <v>4</v>
      </c>
      <c r="AP64" s="90">
        <v>5</v>
      </c>
      <c r="AQ64" s="90">
        <v>4</v>
      </c>
      <c r="AR64" s="90">
        <v>4</v>
      </c>
      <c r="AS64" s="90">
        <v>2</v>
      </c>
      <c r="AT64" s="90">
        <v>2</v>
      </c>
      <c r="AU64" s="90">
        <v>1</v>
      </c>
      <c r="AV64" s="90">
        <v>3</v>
      </c>
      <c r="AW64" s="90">
        <v>3</v>
      </c>
      <c r="AX64" s="91">
        <v>2</v>
      </c>
      <c r="AY64" s="70"/>
      <c r="AZ64" s="70"/>
    </row>
    <row r="65" spans="1:52" ht="13.9" customHeight="1" x14ac:dyDescent="0.35">
      <c r="A65" s="137"/>
      <c r="B65" s="127" t="s">
        <v>568</v>
      </c>
      <c r="C65" s="80" t="s">
        <v>385</v>
      </c>
      <c r="D65" s="80" t="s">
        <v>22</v>
      </c>
      <c r="E65" s="80">
        <v>1.5</v>
      </c>
      <c r="F65" s="80"/>
      <c r="G65" s="130"/>
      <c r="H65" s="80"/>
      <c r="I65" s="80"/>
      <c r="J65" s="130"/>
      <c r="K65" s="72"/>
      <c r="L65" s="72"/>
      <c r="M65" s="122"/>
      <c r="N65" s="72"/>
      <c r="O65" s="72"/>
      <c r="P65" s="122"/>
      <c r="Q65" s="72"/>
      <c r="R65" s="72"/>
      <c r="S65" s="122"/>
      <c r="T65" s="72"/>
      <c r="U65" s="72"/>
      <c r="V65" s="120"/>
      <c r="W65" s="72"/>
      <c r="X65" s="72"/>
      <c r="Y65" s="122"/>
      <c r="Z65" s="72"/>
      <c r="AA65" s="72"/>
      <c r="AB65" s="122"/>
      <c r="AC65" s="72"/>
      <c r="AD65" s="72"/>
      <c r="AE65" s="122"/>
      <c r="AF65" s="72"/>
      <c r="AG65" s="72"/>
      <c r="AH65" s="122"/>
      <c r="AI65" s="72"/>
      <c r="AJ65" s="72"/>
      <c r="AK65" s="122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</row>
    <row r="66" spans="1:52" ht="13.9" customHeight="1" x14ac:dyDescent="0.35">
      <c r="A66" s="137"/>
      <c r="B66" s="128"/>
      <c r="C66" s="80" t="s">
        <v>565</v>
      </c>
      <c r="D66" s="80" t="s">
        <v>564</v>
      </c>
      <c r="E66" s="80">
        <v>65</v>
      </c>
      <c r="F66" s="80"/>
      <c r="G66" s="133"/>
      <c r="H66" s="80"/>
      <c r="I66" s="80"/>
      <c r="J66" s="133"/>
      <c r="K66" s="72"/>
      <c r="L66" s="72"/>
      <c r="M66" s="118"/>
      <c r="N66" s="72"/>
      <c r="O66" s="72"/>
      <c r="P66" s="118"/>
      <c r="Q66" s="72"/>
      <c r="R66" s="72"/>
      <c r="S66" s="118"/>
      <c r="T66" s="72"/>
      <c r="U66" s="72"/>
      <c r="V66" s="120"/>
      <c r="W66" s="72"/>
      <c r="X66" s="72"/>
      <c r="Y66" s="118"/>
      <c r="Z66" s="72"/>
      <c r="AA66" s="72"/>
      <c r="AB66" s="118"/>
      <c r="AC66" s="72"/>
      <c r="AD66" s="72"/>
      <c r="AE66" s="118"/>
      <c r="AF66" s="72"/>
      <c r="AG66" s="72"/>
      <c r="AH66" s="118"/>
      <c r="AI66" s="72"/>
      <c r="AJ66" s="72"/>
      <c r="AK66" s="118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</row>
    <row r="67" spans="1:52" ht="13.9" customHeight="1" x14ac:dyDescent="0.35">
      <c r="A67" s="137"/>
      <c r="B67" s="128"/>
      <c r="C67" s="80" t="s">
        <v>566</v>
      </c>
      <c r="D67" s="80" t="s">
        <v>564</v>
      </c>
      <c r="E67" s="80">
        <v>580</v>
      </c>
      <c r="F67" s="80"/>
      <c r="G67" s="133"/>
      <c r="H67" s="80"/>
      <c r="I67" s="80"/>
      <c r="J67" s="133"/>
      <c r="K67" s="72"/>
      <c r="L67" s="72"/>
      <c r="M67" s="118"/>
      <c r="N67" s="72"/>
      <c r="O67" s="72"/>
      <c r="P67" s="118"/>
      <c r="Q67" s="72"/>
      <c r="R67" s="72"/>
      <c r="S67" s="118"/>
      <c r="T67" s="72"/>
      <c r="U67" s="72"/>
      <c r="V67" s="120"/>
      <c r="W67" s="72"/>
      <c r="X67" s="72"/>
      <c r="Y67" s="118"/>
      <c r="Z67" s="72"/>
      <c r="AA67" s="72"/>
      <c r="AB67" s="118"/>
      <c r="AC67" s="72"/>
      <c r="AD67" s="72"/>
      <c r="AE67" s="118"/>
      <c r="AF67" s="72"/>
      <c r="AG67" s="72"/>
      <c r="AH67" s="118"/>
      <c r="AI67" s="72"/>
      <c r="AJ67" s="72"/>
      <c r="AK67" s="118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</row>
    <row r="68" spans="1:52" ht="13.9" customHeight="1" x14ac:dyDescent="0.35">
      <c r="A68" s="137"/>
      <c r="B68" s="128"/>
      <c r="C68" s="80"/>
      <c r="D68" s="80"/>
      <c r="E68" s="80"/>
      <c r="F68" s="80"/>
      <c r="G68" s="133"/>
      <c r="H68" s="80"/>
      <c r="I68" s="80"/>
      <c r="J68" s="133"/>
      <c r="K68" s="72"/>
      <c r="L68" s="72"/>
      <c r="M68" s="118"/>
      <c r="N68" s="72"/>
      <c r="O68" s="72"/>
      <c r="P68" s="118"/>
      <c r="Q68" s="72"/>
      <c r="R68" s="72"/>
      <c r="S68" s="118"/>
      <c r="T68" s="72"/>
      <c r="U68" s="72"/>
      <c r="V68" s="120"/>
      <c r="W68" s="72"/>
      <c r="X68" s="72"/>
      <c r="Y68" s="118"/>
      <c r="Z68" s="72"/>
      <c r="AA68" s="72"/>
      <c r="AB68" s="118"/>
      <c r="AC68" s="72"/>
      <c r="AD68" s="72"/>
      <c r="AE68" s="118"/>
      <c r="AF68" s="72"/>
      <c r="AG68" s="72"/>
      <c r="AH68" s="118"/>
      <c r="AI68" s="72"/>
      <c r="AJ68" s="72"/>
      <c r="AK68" s="118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</row>
    <row r="69" spans="1:52" ht="13.9" customHeight="1" x14ac:dyDescent="0.35">
      <c r="A69" s="137"/>
      <c r="B69" s="128"/>
      <c r="C69" s="80"/>
      <c r="D69" s="80"/>
      <c r="E69" s="80"/>
      <c r="F69" s="80"/>
      <c r="G69" s="133"/>
      <c r="H69" s="80"/>
      <c r="I69" s="80"/>
      <c r="J69" s="133"/>
      <c r="K69" s="72"/>
      <c r="L69" s="72"/>
      <c r="M69" s="118"/>
      <c r="N69" s="72"/>
      <c r="O69" s="72"/>
      <c r="P69" s="118"/>
      <c r="Q69" s="72"/>
      <c r="R69" s="72"/>
      <c r="S69" s="118"/>
      <c r="T69" s="72"/>
      <c r="U69" s="72"/>
      <c r="V69" s="120"/>
      <c r="W69" s="72"/>
      <c r="X69" s="72"/>
      <c r="Y69" s="118"/>
      <c r="Z69" s="72"/>
      <c r="AA69" s="72"/>
      <c r="AB69" s="118"/>
      <c r="AC69" s="72"/>
      <c r="AD69" s="72"/>
      <c r="AE69" s="118"/>
      <c r="AF69" s="72"/>
      <c r="AG69" s="72"/>
      <c r="AH69" s="118"/>
      <c r="AI69" s="72"/>
      <c r="AJ69" s="72"/>
      <c r="AK69" s="118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</row>
    <row r="70" spans="1:52" ht="13.9" customHeight="1" x14ac:dyDescent="0.35">
      <c r="A70" s="137"/>
      <c r="B70" s="129"/>
      <c r="C70" s="80"/>
      <c r="D70" s="80"/>
      <c r="E70" s="80"/>
      <c r="F70" s="80"/>
      <c r="G70" s="131"/>
      <c r="H70" s="80"/>
      <c r="I70" s="80"/>
      <c r="J70" s="131"/>
      <c r="K70" s="72"/>
      <c r="L70" s="72"/>
      <c r="M70" s="125"/>
      <c r="N70" s="73"/>
      <c r="O70" s="73"/>
      <c r="P70" s="125"/>
      <c r="Q70" s="73"/>
      <c r="R70" s="73"/>
      <c r="S70" s="125"/>
      <c r="T70" s="72"/>
      <c r="U70" s="72"/>
      <c r="V70" s="120"/>
      <c r="W70" s="72"/>
      <c r="X70" s="72"/>
      <c r="Y70" s="125"/>
      <c r="Z70" s="72"/>
      <c r="AA70" s="72"/>
      <c r="AB70" s="125"/>
      <c r="AC70" s="72"/>
      <c r="AD70" s="72"/>
      <c r="AE70" s="125"/>
      <c r="AF70" s="72"/>
      <c r="AG70" s="72"/>
      <c r="AH70" s="125"/>
      <c r="AI70" s="72"/>
      <c r="AJ70" s="72"/>
      <c r="AK70" s="125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</row>
    <row r="71" spans="1:52" ht="13.9" customHeight="1" x14ac:dyDescent="0.35">
      <c r="A71" s="137"/>
      <c r="B71" s="127"/>
      <c r="C71" s="80"/>
      <c r="D71" s="80"/>
      <c r="E71" s="80"/>
      <c r="F71" s="80"/>
      <c r="G71" s="130"/>
      <c r="H71" s="80"/>
      <c r="I71" s="80"/>
      <c r="J71" s="130"/>
      <c r="K71" s="72"/>
      <c r="L71" s="72"/>
      <c r="M71" s="122"/>
      <c r="N71" s="102"/>
      <c r="O71" s="72"/>
      <c r="P71" s="122"/>
      <c r="Q71" s="103"/>
      <c r="R71" s="72"/>
      <c r="S71" s="122"/>
      <c r="T71" s="72"/>
      <c r="U71" s="72"/>
      <c r="V71" s="120"/>
      <c r="W71" s="72"/>
      <c r="X71" s="72"/>
      <c r="Y71" s="122"/>
      <c r="Z71" s="72"/>
      <c r="AA71" s="72"/>
      <c r="AB71" s="122"/>
      <c r="AC71" s="72"/>
      <c r="AD71" s="72"/>
      <c r="AE71" s="122"/>
      <c r="AF71" s="72"/>
      <c r="AG71" s="72"/>
      <c r="AH71" s="122"/>
      <c r="AI71" s="72"/>
      <c r="AJ71" s="72"/>
      <c r="AK71" s="122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</row>
    <row r="72" spans="1:52" ht="13.9" customHeight="1" x14ac:dyDescent="0.35">
      <c r="A72" s="137"/>
      <c r="B72" s="129"/>
      <c r="C72" s="80"/>
      <c r="D72" s="80"/>
      <c r="E72" s="80"/>
      <c r="F72" s="80"/>
      <c r="G72" s="131"/>
      <c r="H72" s="80"/>
      <c r="I72" s="80"/>
      <c r="J72" s="131"/>
      <c r="K72" s="72"/>
      <c r="L72" s="72"/>
      <c r="M72" s="125"/>
      <c r="N72" s="102"/>
      <c r="O72" s="72"/>
      <c r="P72" s="125"/>
      <c r="Q72" s="103"/>
      <c r="R72" s="72"/>
      <c r="S72" s="125"/>
      <c r="T72" s="72"/>
      <c r="U72" s="72"/>
      <c r="V72" s="120"/>
      <c r="W72" s="72"/>
      <c r="X72" s="72"/>
      <c r="Y72" s="125"/>
      <c r="Z72" s="72"/>
      <c r="AA72" s="72"/>
      <c r="AB72" s="125"/>
      <c r="AC72" s="72"/>
      <c r="AD72" s="72"/>
      <c r="AE72" s="125"/>
      <c r="AF72" s="72"/>
      <c r="AG72" s="72"/>
      <c r="AH72" s="125"/>
      <c r="AI72" s="72"/>
      <c r="AJ72" s="72"/>
      <c r="AK72" s="125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</row>
    <row r="73" spans="1:52" x14ac:dyDescent="0.35">
      <c r="A73" s="137"/>
      <c r="B73" s="127"/>
      <c r="C73" s="80"/>
      <c r="D73" s="80"/>
      <c r="E73" s="72"/>
      <c r="F73" s="72"/>
      <c r="G73" s="122"/>
      <c r="H73" s="72"/>
      <c r="I73" s="72"/>
      <c r="J73" s="122"/>
      <c r="K73" s="72"/>
      <c r="L73" s="72"/>
      <c r="M73" s="122"/>
      <c r="N73" s="72"/>
      <c r="O73" s="72"/>
      <c r="P73" s="122"/>
      <c r="Q73" s="72"/>
      <c r="R73" s="72"/>
      <c r="S73" s="122"/>
      <c r="T73" s="72"/>
      <c r="U73" s="72"/>
      <c r="V73" s="118"/>
      <c r="W73" s="72"/>
      <c r="X73" s="72"/>
      <c r="Y73" s="122"/>
      <c r="Z73" s="72"/>
      <c r="AA73" s="72"/>
      <c r="AB73" s="122"/>
      <c r="AC73" s="72"/>
      <c r="AD73" s="72"/>
      <c r="AE73" s="122"/>
      <c r="AF73" s="72"/>
      <c r="AG73" s="72"/>
      <c r="AH73" s="122"/>
      <c r="AI73" s="72"/>
      <c r="AJ73" s="72"/>
      <c r="AK73" s="122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</row>
    <row r="74" spans="1:52" x14ac:dyDescent="0.35">
      <c r="A74" s="137"/>
      <c r="B74" s="128"/>
      <c r="C74" s="80"/>
      <c r="D74" s="80"/>
      <c r="E74" s="80"/>
      <c r="F74" s="80"/>
      <c r="G74" s="118"/>
      <c r="H74" s="80"/>
      <c r="I74" s="80"/>
      <c r="J74" s="118"/>
      <c r="K74" s="73"/>
      <c r="L74" s="73"/>
      <c r="M74" s="118"/>
      <c r="N74" s="72"/>
      <c r="O74" s="72"/>
      <c r="P74" s="118"/>
      <c r="Q74" s="72"/>
      <c r="R74" s="72"/>
      <c r="S74" s="118"/>
      <c r="T74" s="72"/>
      <c r="U74" s="72"/>
      <c r="V74" s="118"/>
      <c r="W74" s="72"/>
      <c r="X74" s="72"/>
      <c r="Y74" s="118"/>
      <c r="Z74" s="72"/>
      <c r="AA74" s="72"/>
      <c r="AB74" s="118"/>
      <c r="AC74" s="72"/>
      <c r="AD74" s="72"/>
      <c r="AE74" s="118"/>
      <c r="AF74" s="72"/>
      <c r="AG74" s="72"/>
      <c r="AH74" s="118"/>
      <c r="AI74" s="72"/>
      <c r="AJ74" s="72"/>
      <c r="AK74" s="118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</row>
    <row r="75" spans="1:52" ht="13.9" customHeight="1" x14ac:dyDescent="0.35">
      <c r="A75" s="138"/>
      <c r="B75" s="129"/>
      <c r="C75" s="80"/>
      <c r="D75" s="80"/>
      <c r="E75" s="80"/>
      <c r="F75" s="80"/>
      <c r="G75" s="125"/>
      <c r="H75" s="80"/>
      <c r="I75" s="80"/>
      <c r="J75" s="125"/>
      <c r="K75" s="73"/>
      <c r="L75" s="73"/>
      <c r="M75" s="125"/>
      <c r="N75" s="72"/>
      <c r="O75" s="72"/>
      <c r="P75" s="125"/>
      <c r="Q75" s="72"/>
      <c r="R75" s="72"/>
      <c r="S75" s="125"/>
      <c r="T75" s="72"/>
      <c r="U75" s="72"/>
      <c r="V75" s="125"/>
      <c r="W75" s="72"/>
      <c r="X75" s="72"/>
      <c r="Y75" s="125"/>
      <c r="Z75" s="72"/>
      <c r="AA75" s="72"/>
      <c r="AB75" s="125"/>
      <c r="AC75" s="73"/>
      <c r="AD75" s="73"/>
      <c r="AE75" s="125"/>
      <c r="AF75" s="73"/>
      <c r="AG75" s="73"/>
      <c r="AH75" s="125"/>
      <c r="AI75" s="73"/>
      <c r="AJ75" s="73"/>
      <c r="AK75" s="125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</row>
    <row r="76" spans="1:52" x14ac:dyDescent="0.35">
      <c r="A76" s="119" t="s">
        <v>388</v>
      </c>
      <c r="B76" s="126"/>
      <c r="C76" s="80"/>
      <c r="D76" s="72"/>
      <c r="E76" s="72"/>
      <c r="F76" s="72"/>
      <c r="G76" s="122"/>
      <c r="H76" s="72"/>
      <c r="I76" s="72"/>
      <c r="J76" s="122"/>
      <c r="K76" s="72"/>
      <c r="L76" s="72"/>
      <c r="M76" s="122"/>
      <c r="N76" s="72"/>
      <c r="O76" s="72"/>
      <c r="P76" s="122"/>
      <c r="Q76" s="72"/>
      <c r="R76" s="72"/>
      <c r="S76" s="122"/>
      <c r="T76" s="72"/>
      <c r="U76" s="72"/>
      <c r="V76" s="122"/>
      <c r="W76" s="72"/>
      <c r="X76" s="72"/>
      <c r="Y76" s="122"/>
      <c r="Z76" s="72"/>
      <c r="AA76" s="72"/>
      <c r="AB76" s="122"/>
      <c r="AC76" s="72"/>
      <c r="AD76" s="72"/>
      <c r="AE76" s="122"/>
      <c r="AF76" s="72"/>
      <c r="AG76" s="72"/>
      <c r="AH76" s="122"/>
      <c r="AI76" s="72"/>
      <c r="AJ76" s="72"/>
      <c r="AK76" s="122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</row>
    <row r="77" spans="1:52" x14ac:dyDescent="0.35">
      <c r="A77" s="119"/>
      <c r="B77" s="126"/>
      <c r="C77" s="80" t="s">
        <v>571</v>
      </c>
      <c r="D77" s="72"/>
      <c r="E77" s="72" t="s">
        <v>742</v>
      </c>
      <c r="F77" s="72"/>
      <c r="G77" s="118"/>
      <c r="H77" s="72"/>
      <c r="I77" s="72"/>
      <c r="J77" s="118"/>
      <c r="K77" s="72"/>
      <c r="L77" s="72"/>
      <c r="M77" s="118"/>
      <c r="N77" s="72"/>
      <c r="O77" s="72"/>
      <c r="P77" s="118"/>
      <c r="Q77" s="72"/>
      <c r="R77" s="72"/>
      <c r="S77" s="118"/>
      <c r="T77" s="72"/>
      <c r="U77" s="72"/>
      <c r="V77" s="118"/>
      <c r="W77" s="72"/>
      <c r="X77" s="72"/>
      <c r="Y77" s="118"/>
      <c r="Z77" s="72"/>
      <c r="AA77" s="72"/>
      <c r="AB77" s="118"/>
      <c r="AC77" s="72"/>
      <c r="AD77" s="72"/>
      <c r="AE77" s="118"/>
      <c r="AF77" s="72"/>
      <c r="AG77" s="72"/>
      <c r="AH77" s="118"/>
      <c r="AI77" s="72"/>
      <c r="AJ77" s="72"/>
      <c r="AK77" s="118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</row>
    <row r="78" spans="1:52" x14ac:dyDescent="0.35">
      <c r="A78" s="119"/>
      <c r="B78" s="126"/>
      <c r="C78" s="80" t="s">
        <v>572</v>
      </c>
      <c r="D78" s="72"/>
      <c r="E78" s="72"/>
      <c r="F78" s="72"/>
      <c r="G78" s="122"/>
      <c r="H78" s="93"/>
      <c r="I78" s="72"/>
      <c r="J78" s="122"/>
      <c r="K78" s="93"/>
      <c r="L78" s="93"/>
      <c r="M78" s="122"/>
      <c r="N78" s="72"/>
      <c r="O78" s="72"/>
      <c r="P78" s="122"/>
      <c r="Q78" s="72"/>
      <c r="R78" s="72"/>
      <c r="S78" s="122"/>
      <c r="T78" s="72"/>
      <c r="U78" s="72"/>
      <c r="V78" s="122"/>
      <c r="W78" s="72"/>
      <c r="X78" s="72"/>
      <c r="Y78" s="122"/>
      <c r="Z78" s="72"/>
      <c r="AA78" s="72"/>
      <c r="AB78" s="122"/>
      <c r="AC78" s="72"/>
      <c r="AD78" s="72"/>
      <c r="AE78" s="122"/>
      <c r="AF78" s="72"/>
      <c r="AG78" s="72"/>
      <c r="AH78" s="122"/>
      <c r="AI78" s="72"/>
      <c r="AJ78" s="72"/>
      <c r="AK78" s="122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</row>
    <row r="79" spans="1:52" x14ac:dyDescent="0.35">
      <c r="A79" s="119"/>
      <c r="B79" s="126"/>
      <c r="C79" s="80" t="s">
        <v>745</v>
      </c>
      <c r="D79" s="72"/>
      <c r="E79" s="72"/>
      <c r="F79" s="72"/>
      <c r="G79" s="118"/>
      <c r="H79" s="72"/>
      <c r="I79" s="72"/>
      <c r="J79" s="118"/>
      <c r="K79" s="72"/>
      <c r="L79" s="72"/>
      <c r="M79" s="118"/>
      <c r="N79" s="72"/>
      <c r="O79" s="72"/>
      <c r="P79" s="118"/>
      <c r="Q79" s="72"/>
      <c r="R79" s="72"/>
      <c r="S79" s="118"/>
      <c r="T79" s="72"/>
      <c r="U79" s="72"/>
      <c r="V79" s="118"/>
      <c r="W79" s="72"/>
      <c r="X79" s="72"/>
      <c r="Y79" s="118"/>
      <c r="Z79" s="72"/>
      <c r="AA79" s="72"/>
      <c r="AB79" s="118"/>
      <c r="AC79" s="72"/>
      <c r="AD79" s="72"/>
      <c r="AE79" s="118"/>
      <c r="AF79" s="72"/>
      <c r="AG79" s="72"/>
      <c r="AH79" s="118"/>
      <c r="AI79" s="72"/>
      <c r="AJ79" s="72"/>
      <c r="AK79" s="118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</row>
    <row r="80" spans="1:52" x14ac:dyDescent="0.35">
      <c r="A80" s="119"/>
      <c r="B80" s="126"/>
      <c r="C80" s="80" t="s">
        <v>746</v>
      </c>
      <c r="D80" s="72"/>
      <c r="E80" s="72"/>
      <c r="F80" s="72"/>
      <c r="G80" s="118"/>
      <c r="H80" s="72"/>
      <c r="I80" s="72"/>
      <c r="J80" s="118"/>
      <c r="K80" s="72"/>
      <c r="L80" s="72"/>
      <c r="M80" s="118"/>
      <c r="N80" s="72"/>
      <c r="O80" s="72"/>
      <c r="P80" s="118"/>
      <c r="Q80" s="72"/>
      <c r="R80" s="72"/>
      <c r="S80" s="118"/>
      <c r="T80" s="72"/>
      <c r="U80" s="72"/>
      <c r="V80" s="118"/>
      <c r="W80" s="72"/>
      <c r="X80" s="72"/>
      <c r="Y80" s="118"/>
      <c r="Z80" s="72"/>
      <c r="AA80" s="72"/>
      <c r="AB80" s="118"/>
      <c r="AC80" s="72"/>
      <c r="AD80" s="72"/>
      <c r="AE80" s="118"/>
      <c r="AF80" s="72"/>
      <c r="AG80" s="72"/>
      <c r="AH80" s="118"/>
      <c r="AI80" s="72"/>
      <c r="AJ80" s="72"/>
      <c r="AK80" s="118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</row>
    <row r="81" spans="1:52" x14ac:dyDescent="0.35">
      <c r="A81" s="119"/>
      <c r="B81" s="126"/>
      <c r="C81" s="80" t="s">
        <v>600</v>
      </c>
      <c r="D81" s="72"/>
      <c r="E81" s="72"/>
      <c r="F81" s="72"/>
      <c r="G81" s="118"/>
      <c r="H81" s="72"/>
      <c r="I81" s="72"/>
      <c r="J81" s="118"/>
      <c r="K81" s="72"/>
      <c r="L81" s="72"/>
      <c r="M81" s="118"/>
      <c r="N81" s="72"/>
      <c r="O81" s="72"/>
      <c r="P81" s="118"/>
      <c r="Q81" s="72"/>
      <c r="R81" s="72"/>
      <c r="S81" s="118"/>
      <c r="T81" s="72"/>
      <c r="U81" s="72"/>
      <c r="V81" s="118"/>
      <c r="W81" s="72"/>
      <c r="X81" s="72"/>
      <c r="Y81" s="118"/>
      <c r="Z81" s="72"/>
      <c r="AA81" s="72"/>
      <c r="AB81" s="118"/>
      <c r="AC81" s="72"/>
      <c r="AD81" s="72"/>
      <c r="AE81" s="118"/>
      <c r="AF81" s="72"/>
      <c r="AG81" s="72"/>
      <c r="AH81" s="118"/>
      <c r="AI81" s="72"/>
      <c r="AJ81" s="72"/>
      <c r="AK81" s="118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</row>
    <row r="82" spans="1:52" x14ac:dyDescent="0.35">
      <c r="A82" s="119"/>
      <c r="B82" s="126"/>
      <c r="C82" s="80" t="s">
        <v>616</v>
      </c>
      <c r="D82" s="72"/>
      <c r="E82" s="72"/>
      <c r="F82" s="72"/>
      <c r="G82" s="118"/>
      <c r="H82" s="72"/>
      <c r="I82" s="72"/>
      <c r="J82" s="118"/>
      <c r="K82" s="72"/>
      <c r="L82" s="72"/>
      <c r="M82" s="118"/>
      <c r="N82" s="102"/>
      <c r="O82" s="72"/>
      <c r="P82" s="118"/>
      <c r="Q82" s="103"/>
      <c r="R82" s="72"/>
      <c r="S82" s="118"/>
      <c r="T82" s="72"/>
      <c r="U82" s="72"/>
      <c r="V82" s="118"/>
      <c r="W82" s="72"/>
      <c r="X82" s="72"/>
      <c r="Y82" s="118"/>
      <c r="Z82" s="72"/>
      <c r="AA82" s="72"/>
      <c r="AB82" s="118"/>
      <c r="AC82" s="72"/>
      <c r="AD82" s="72"/>
      <c r="AE82" s="118"/>
      <c r="AF82" s="72"/>
      <c r="AG82" s="72"/>
      <c r="AH82" s="118"/>
      <c r="AI82" s="72"/>
      <c r="AJ82" s="72"/>
      <c r="AK82" s="118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</row>
    <row r="83" spans="1:52" x14ac:dyDescent="0.35">
      <c r="A83" s="119"/>
      <c r="B83" s="126"/>
      <c r="C83" s="80" t="s">
        <v>618</v>
      </c>
      <c r="D83" s="72"/>
      <c r="E83" s="72"/>
      <c r="F83" s="72"/>
      <c r="G83" s="118"/>
      <c r="H83" s="72"/>
      <c r="I83" s="72"/>
      <c r="J83" s="118"/>
      <c r="K83" s="72"/>
      <c r="L83" s="72"/>
      <c r="M83" s="118"/>
      <c r="N83" s="72"/>
      <c r="O83" s="72"/>
      <c r="P83" s="118"/>
      <c r="Q83" s="72"/>
      <c r="R83" s="72"/>
      <c r="S83" s="118"/>
      <c r="T83" s="72"/>
      <c r="U83" s="72"/>
      <c r="V83" s="118"/>
      <c r="W83" s="72"/>
      <c r="X83" s="72"/>
      <c r="Y83" s="118"/>
      <c r="Z83" s="72"/>
      <c r="AA83" s="107"/>
      <c r="AB83" s="118"/>
      <c r="AC83" s="72"/>
      <c r="AD83" s="72"/>
      <c r="AE83" s="118"/>
      <c r="AF83" s="72"/>
      <c r="AG83" s="72"/>
      <c r="AH83" s="118"/>
      <c r="AI83" s="72"/>
      <c r="AJ83" s="72"/>
      <c r="AK83" s="118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</row>
    <row r="84" spans="1:52" x14ac:dyDescent="0.35">
      <c r="A84" s="119"/>
      <c r="B84" s="126"/>
      <c r="C84" s="80" t="s">
        <v>625</v>
      </c>
      <c r="D84" s="72"/>
      <c r="E84" s="72" t="s">
        <v>669</v>
      </c>
      <c r="F84" s="72"/>
      <c r="G84" s="125"/>
      <c r="H84" s="72"/>
      <c r="I84" s="72"/>
      <c r="J84" s="125"/>
      <c r="K84" s="72"/>
      <c r="L84" s="72"/>
      <c r="M84" s="125"/>
      <c r="N84" s="72"/>
      <c r="O84" s="72"/>
      <c r="P84" s="125"/>
      <c r="Q84" s="72"/>
      <c r="R84" s="72"/>
      <c r="S84" s="125"/>
      <c r="T84" s="73"/>
      <c r="U84" s="72"/>
      <c r="V84" s="125"/>
      <c r="W84" s="73"/>
      <c r="X84" s="72"/>
      <c r="Y84" s="125"/>
      <c r="Z84" s="72"/>
      <c r="AA84" s="72"/>
      <c r="AB84" s="125"/>
      <c r="AC84" s="72"/>
      <c r="AD84" s="72"/>
      <c r="AE84" s="125"/>
      <c r="AF84" s="72"/>
      <c r="AG84" s="72"/>
      <c r="AH84" s="125"/>
      <c r="AI84" s="72"/>
      <c r="AJ84" s="72"/>
      <c r="AK84" s="125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</row>
    <row r="85" spans="1:52" x14ac:dyDescent="0.35">
      <c r="A85" s="119"/>
      <c r="B85" s="126"/>
      <c r="C85" s="80" t="s">
        <v>657</v>
      </c>
      <c r="D85" s="72"/>
      <c r="E85" s="72"/>
      <c r="F85" s="72"/>
      <c r="G85" s="122"/>
      <c r="H85" s="72"/>
      <c r="I85" s="72"/>
      <c r="J85" s="122"/>
      <c r="K85" s="72"/>
      <c r="L85" s="72"/>
      <c r="M85" s="122"/>
      <c r="N85" s="72"/>
      <c r="O85" s="72"/>
      <c r="P85" s="122"/>
      <c r="Q85" s="72"/>
      <c r="R85" s="72"/>
      <c r="S85" s="122"/>
      <c r="T85" s="72"/>
      <c r="U85" s="72"/>
      <c r="V85" s="122"/>
      <c r="W85" s="72"/>
      <c r="X85" s="72"/>
      <c r="Y85" s="122"/>
      <c r="Z85" s="73"/>
      <c r="AA85" s="73"/>
      <c r="AB85" s="123"/>
      <c r="AC85" s="72"/>
      <c r="AD85" s="72"/>
      <c r="AE85" s="122"/>
      <c r="AF85" s="72"/>
      <c r="AG85" s="72"/>
      <c r="AH85" s="122"/>
      <c r="AI85" s="72"/>
      <c r="AJ85" s="72"/>
      <c r="AK85" s="122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</row>
    <row r="86" spans="1:52" x14ac:dyDescent="0.35">
      <c r="A86" s="119"/>
      <c r="B86" s="126"/>
      <c r="C86" s="80" t="s">
        <v>668</v>
      </c>
      <c r="D86" s="72"/>
      <c r="E86" s="72" t="s">
        <v>583</v>
      </c>
      <c r="F86" s="72"/>
      <c r="G86" s="118"/>
      <c r="H86" s="72"/>
      <c r="I86" s="72"/>
      <c r="J86" s="118"/>
      <c r="K86" s="93"/>
      <c r="L86" s="93"/>
      <c r="M86" s="118"/>
      <c r="N86" s="72"/>
      <c r="O86" s="72"/>
      <c r="P86" s="118"/>
      <c r="Q86" s="72"/>
      <c r="R86" s="72"/>
      <c r="S86" s="118"/>
      <c r="T86" s="72"/>
      <c r="U86" s="72"/>
      <c r="V86" s="118"/>
      <c r="W86" s="72"/>
      <c r="X86" s="72"/>
      <c r="Y86" s="118"/>
      <c r="Z86" s="72"/>
      <c r="AA86" s="73"/>
      <c r="AB86" s="121"/>
      <c r="AC86" s="72"/>
      <c r="AD86" s="72"/>
      <c r="AE86" s="118"/>
      <c r="AF86" s="72"/>
      <c r="AG86" s="72"/>
      <c r="AH86" s="118"/>
      <c r="AI86" s="72"/>
      <c r="AJ86" s="72"/>
      <c r="AK86" s="118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</row>
    <row r="87" spans="1:52" x14ac:dyDescent="0.35">
      <c r="A87" s="119"/>
      <c r="B87" s="126"/>
      <c r="C87" s="80"/>
      <c r="D87" s="72"/>
      <c r="E87" s="72"/>
      <c r="F87" s="72"/>
      <c r="G87" s="118"/>
      <c r="H87" s="72"/>
      <c r="I87" s="72"/>
      <c r="J87" s="118"/>
      <c r="K87" s="72"/>
      <c r="L87" s="72"/>
      <c r="M87" s="118"/>
      <c r="N87" s="72"/>
      <c r="O87" s="72"/>
      <c r="P87" s="118"/>
      <c r="Q87" s="72"/>
      <c r="R87" s="72"/>
      <c r="S87" s="118"/>
      <c r="T87" s="72"/>
      <c r="U87" s="72"/>
      <c r="V87" s="118"/>
      <c r="W87" s="72"/>
      <c r="X87" s="72"/>
      <c r="Y87" s="118"/>
      <c r="Z87" s="72"/>
      <c r="AA87" s="72"/>
      <c r="AB87" s="121"/>
      <c r="AC87" s="72"/>
      <c r="AD87" s="72"/>
      <c r="AE87" s="118"/>
      <c r="AF87" s="72"/>
      <c r="AG87" s="72"/>
      <c r="AH87" s="118"/>
      <c r="AI87" s="72"/>
      <c r="AJ87" s="72"/>
      <c r="AK87" s="118"/>
      <c r="AL87" s="70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70"/>
      <c r="AZ87" s="70"/>
    </row>
    <row r="88" spans="1:52" x14ac:dyDescent="0.35">
      <c r="A88" s="119"/>
      <c r="B88" s="126"/>
      <c r="C88" s="80"/>
      <c r="D88" s="72"/>
      <c r="E88" s="72"/>
      <c r="F88" s="72"/>
      <c r="G88" s="118"/>
      <c r="H88" s="72"/>
      <c r="I88" s="72"/>
      <c r="J88" s="118"/>
      <c r="K88" s="72"/>
      <c r="L88" s="72"/>
      <c r="M88" s="118"/>
      <c r="N88" s="72"/>
      <c r="O88" s="72"/>
      <c r="P88" s="118"/>
      <c r="Q88" s="72"/>
      <c r="R88" s="72"/>
      <c r="S88" s="118"/>
      <c r="T88" s="72"/>
      <c r="U88" s="72"/>
      <c r="V88" s="118"/>
      <c r="W88" s="72"/>
      <c r="X88" s="72"/>
      <c r="Y88" s="118"/>
      <c r="Z88" s="72"/>
      <c r="AA88" s="72"/>
      <c r="AB88" s="121"/>
      <c r="AC88" s="72"/>
      <c r="AD88" s="72"/>
      <c r="AE88" s="118"/>
      <c r="AF88" s="72"/>
      <c r="AG88" s="72"/>
      <c r="AH88" s="118"/>
      <c r="AI88" s="72"/>
      <c r="AJ88" s="72"/>
      <c r="AK88" s="118"/>
      <c r="AL88" s="70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70"/>
      <c r="AZ88" s="70"/>
    </row>
    <row r="89" spans="1:52" x14ac:dyDescent="0.35">
      <c r="A89" s="119"/>
      <c r="B89" s="126"/>
      <c r="C89" s="80"/>
      <c r="D89" s="72"/>
      <c r="E89" s="72"/>
      <c r="F89" s="72"/>
      <c r="G89" s="118"/>
      <c r="H89" s="72"/>
      <c r="I89" s="72"/>
      <c r="J89" s="118"/>
      <c r="K89" s="72"/>
      <c r="L89" s="72"/>
      <c r="M89" s="118"/>
      <c r="N89" s="72"/>
      <c r="O89" s="72"/>
      <c r="P89" s="118"/>
      <c r="Q89" s="72"/>
      <c r="R89" s="72"/>
      <c r="S89" s="118"/>
      <c r="T89" s="72"/>
      <c r="U89" s="72"/>
      <c r="V89" s="118"/>
      <c r="W89" s="72"/>
      <c r="X89" s="72"/>
      <c r="Y89" s="118"/>
      <c r="Z89" s="72"/>
      <c r="AA89" s="72"/>
      <c r="AB89" s="121"/>
      <c r="AC89" s="72"/>
      <c r="AD89" s="72"/>
      <c r="AE89" s="118"/>
      <c r="AF89" s="72"/>
      <c r="AG89" s="72"/>
      <c r="AH89" s="118"/>
      <c r="AI89" s="72"/>
      <c r="AJ89" s="72"/>
      <c r="AK89" s="118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</row>
    <row r="90" spans="1:52" x14ac:dyDescent="0.35">
      <c r="A90" s="119"/>
      <c r="B90" s="126"/>
      <c r="C90" s="80"/>
      <c r="D90" s="72"/>
      <c r="E90" s="72"/>
      <c r="F90" s="72"/>
      <c r="G90" s="118"/>
      <c r="H90" s="72"/>
      <c r="I90" s="72"/>
      <c r="J90" s="118"/>
      <c r="K90" s="72"/>
      <c r="L90" s="72"/>
      <c r="M90" s="118"/>
      <c r="N90" s="72"/>
      <c r="O90" s="72"/>
      <c r="P90" s="118"/>
      <c r="Q90" s="72"/>
      <c r="R90" s="72"/>
      <c r="S90" s="118"/>
      <c r="T90" s="72"/>
      <c r="U90" s="72"/>
      <c r="V90" s="118"/>
      <c r="W90" s="72"/>
      <c r="X90" s="72"/>
      <c r="Y90" s="118"/>
      <c r="Z90" s="72"/>
      <c r="AA90" s="72"/>
      <c r="AB90" s="121"/>
      <c r="AC90" s="72"/>
      <c r="AD90" s="72"/>
      <c r="AE90" s="118"/>
      <c r="AF90" s="72"/>
      <c r="AG90" s="72"/>
      <c r="AH90" s="118"/>
      <c r="AI90" s="72"/>
      <c r="AJ90" s="72"/>
      <c r="AK90" s="118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</row>
    <row r="91" spans="1:52" x14ac:dyDescent="0.35">
      <c r="A91" s="119"/>
      <c r="B91" s="126"/>
      <c r="C91" s="80"/>
      <c r="D91" s="72"/>
      <c r="E91" s="72"/>
      <c r="F91" s="72"/>
      <c r="G91" s="118"/>
      <c r="H91" s="72"/>
      <c r="I91" s="72"/>
      <c r="J91" s="118"/>
      <c r="K91" s="73"/>
      <c r="L91" s="72"/>
      <c r="M91" s="118"/>
      <c r="N91" s="72"/>
      <c r="O91" s="72"/>
      <c r="P91" s="118"/>
      <c r="Q91" s="72"/>
      <c r="R91" s="72"/>
      <c r="S91" s="118"/>
      <c r="T91" s="72"/>
      <c r="U91" s="72"/>
      <c r="V91" s="118"/>
      <c r="W91" s="72"/>
      <c r="X91" s="72"/>
      <c r="Y91" s="118"/>
      <c r="Z91" s="72"/>
      <c r="AA91" s="72"/>
      <c r="AB91" s="121"/>
      <c r="AC91" s="72"/>
      <c r="AD91" s="72"/>
      <c r="AE91" s="118"/>
      <c r="AF91" s="72"/>
      <c r="AG91" s="72"/>
      <c r="AH91" s="118"/>
      <c r="AI91" s="72"/>
      <c r="AJ91" s="72"/>
      <c r="AK91" s="118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</row>
    <row r="92" spans="1:52" x14ac:dyDescent="0.35">
      <c r="A92" s="119"/>
      <c r="B92" s="126"/>
      <c r="C92" s="80"/>
      <c r="D92" s="72"/>
      <c r="E92" s="72"/>
      <c r="F92" s="72"/>
      <c r="G92" s="118"/>
      <c r="H92" s="72"/>
      <c r="I92" s="72"/>
      <c r="J92" s="118"/>
      <c r="K92" s="72"/>
      <c r="L92" s="73"/>
      <c r="M92" s="118"/>
      <c r="N92" s="72"/>
      <c r="O92" s="72"/>
      <c r="P92" s="118"/>
      <c r="Q92" s="72"/>
      <c r="R92" s="72"/>
      <c r="S92" s="118"/>
      <c r="T92" s="72"/>
      <c r="U92" s="72"/>
      <c r="V92" s="118"/>
      <c r="W92" s="72"/>
      <c r="X92" s="72"/>
      <c r="Y92" s="118"/>
      <c r="Z92" s="72"/>
      <c r="AA92" s="72"/>
      <c r="AB92" s="121"/>
      <c r="AC92" s="72"/>
      <c r="AD92" s="72"/>
      <c r="AE92" s="118"/>
      <c r="AF92" s="72"/>
      <c r="AG92" s="72"/>
      <c r="AH92" s="118"/>
      <c r="AI92" s="72"/>
      <c r="AJ92" s="72"/>
      <c r="AK92" s="118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</row>
    <row r="93" spans="1:52" ht="17.25" thickBot="1" x14ac:dyDescent="0.4">
      <c r="A93" s="119"/>
      <c r="B93" s="124"/>
      <c r="C93" s="80"/>
      <c r="D93" s="72"/>
      <c r="E93" s="72"/>
      <c r="F93" s="72"/>
      <c r="G93" s="121"/>
      <c r="H93" s="72"/>
      <c r="I93" s="72"/>
      <c r="J93" s="121"/>
      <c r="K93" s="72"/>
      <c r="L93" s="72"/>
      <c r="M93" s="121"/>
      <c r="N93" s="72"/>
      <c r="O93" s="72"/>
      <c r="P93" s="121"/>
      <c r="Q93" s="72"/>
      <c r="R93" s="72"/>
      <c r="S93" s="121"/>
      <c r="T93" s="72"/>
      <c r="U93" s="72"/>
      <c r="V93" s="121"/>
      <c r="W93" s="72"/>
      <c r="X93" s="72"/>
      <c r="Y93" s="121"/>
      <c r="Z93" s="72"/>
      <c r="AA93" s="72"/>
      <c r="AB93" s="121"/>
      <c r="AC93" s="72"/>
      <c r="AD93" s="72"/>
      <c r="AE93" s="121"/>
      <c r="AF93" s="72"/>
      <c r="AG93" s="72"/>
      <c r="AH93" s="121"/>
      <c r="AI93" s="72"/>
      <c r="AJ93" s="72"/>
      <c r="AK93" s="118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</row>
    <row r="94" spans="1:52" ht="30" x14ac:dyDescent="0.35">
      <c r="A94" s="119"/>
      <c r="B94" s="124"/>
      <c r="C94" s="80"/>
      <c r="D94" s="72"/>
      <c r="E94" s="72"/>
      <c r="F94" s="72"/>
      <c r="G94" s="121"/>
      <c r="H94" s="72"/>
      <c r="I94" s="72"/>
      <c r="J94" s="121"/>
      <c r="K94" s="72"/>
      <c r="L94" s="72"/>
      <c r="M94" s="121"/>
      <c r="N94" s="72"/>
      <c r="O94" s="72"/>
      <c r="P94" s="121"/>
      <c r="Q94" s="72"/>
      <c r="R94" s="72"/>
      <c r="S94" s="121"/>
      <c r="T94" s="72"/>
      <c r="U94" s="72"/>
      <c r="V94" s="121"/>
      <c r="W94" s="72"/>
      <c r="X94" s="72"/>
      <c r="Y94" s="121"/>
      <c r="Z94" s="72"/>
      <c r="AA94" s="72"/>
      <c r="AB94" s="121"/>
      <c r="AC94" s="72"/>
      <c r="AD94" s="72"/>
      <c r="AE94" s="121"/>
      <c r="AF94" s="72"/>
      <c r="AG94" s="72"/>
      <c r="AH94" s="121"/>
      <c r="AI94" s="72"/>
      <c r="AJ94" s="72"/>
      <c r="AK94" s="118"/>
      <c r="AL94" s="70"/>
      <c r="AM94" s="94"/>
      <c r="AN94" s="87" t="s">
        <v>4</v>
      </c>
      <c r="AO94" s="87" t="s">
        <v>5</v>
      </c>
      <c r="AP94" s="87" t="s">
        <v>6</v>
      </c>
      <c r="AQ94" s="87" t="s">
        <v>7</v>
      </c>
      <c r="AR94" s="87" t="s">
        <v>8</v>
      </c>
      <c r="AS94" s="87" t="s">
        <v>9</v>
      </c>
      <c r="AT94" s="87" t="s">
        <v>10</v>
      </c>
      <c r="AU94" s="87" t="s">
        <v>11</v>
      </c>
      <c r="AV94" s="87" t="s">
        <v>12</v>
      </c>
      <c r="AW94" s="87" t="s">
        <v>13</v>
      </c>
      <c r="AX94" s="88" t="s">
        <v>14</v>
      </c>
      <c r="AY94" s="70"/>
      <c r="AZ94" s="70"/>
    </row>
    <row r="95" spans="1:52" x14ac:dyDescent="0.35">
      <c r="A95" s="119"/>
      <c r="B95" s="124"/>
      <c r="C95" s="80"/>
      <c r="D95" s="72"/>
      <c r="E95" s="72"/>
      <c r="F95" s="72"/>
      <c r="G95" s="121"/>
      <c r="H95" s="72"/>
      <c r="I95" s="72"/>
      <c r="J95" s="121"/>
      <c r="K95" s="72"/>
      <c r="L95" s="72"/>
      <c r="M95" s="121"/>
      <c r="N95" s="72"/>
      <c r="O95" s="72"/>
      <c r="P95" s="121"/>
      <c r="Q95" s="72"/>
      <c r="R95" s="72"/>
      <c r="S95" s="121"/>
      <c r="T95" s="72"/>
      <c r="U95" s="72"/>
      <c r="V95" s="121"/>
      <c r="W95" s="72"/>
      <c r="X95" s="72"/>
      <c r="Y95" s="121"/>
      <c r="Z95" s="72"/>
      <c r="AA95" s="72"/>
      <c r="AB95" s="121"/>
      <c r="AC95" s="72"/>
      <c r="AD95" s="72"/>
      <c r="AE95" s="121"/>
      <c r="AF95" s="72"/>
      <c r="AG95" s="72"/>
      <c r="AH95" s="121"/>
      <c r="AI95" s="72"/>
      <c r="AJ95" s="72"/>
      <c r="AK95" s="118"/>
      <c r="AL95" s="70"/>
      <c r="AM95" s="89" t="s">
        <v>350</v>
      </c>
      <c r="AN95" s="70">
        <v>0</v>
      </c>
      <c r="AO95" s="70">
        <v>3</v>
      </c>
      <c r="AP95" s="70">
        <v>3</v>
      </c>
      <c r="AQ95" s="70">
        <v>0</v>
      </c>
      <c r="AR95" s="70">
        <v>0.5</v>
      </c>
      <c r="AS95" s="70">
        <v>1.5</v>
      </c>
      <c r="AT95" s="70">
        <v>1.5</v>
      </c>
      <c r="AU95" s="70">
        <v>1</v>
      </c>
      <c r="AV95" s="70">
        <v>0</v>
      </c>
      <c r="AW95" s="70">
        <v>0</v>
      </c>
      <c r="AX95" s="95">
        <v>1.5</v>
      </c>
      <c r="AY95" s="70"/>
      <c r="AZ95" s="70"/>
    </row>
    <row r="96" spans="1:52" x14ac:dyDescent="0.35">
      <c r="A96" s="119"/>
      <c r="B96" s="120"/>
      <c r="C96" s="80"/>
      <c r="D96" s="72"/>
      <c r="E96" s="73"/>
      <c r="F96" s="72"/>
      <c r="G96" s="118"/>
      <c r="H96" s="73"/>
      <c r="I96" s="72"/>
      <c r="J96" s="118"/>
      <c r="K96" s="73"/>
      <c r="L96" s="73"/>
      <c r="M96" s="118"/>
      <c r="N96" s="110"/>
      <c r="O96" s="73"/>
      <c r="P96" s="118"/>
      <c r="Q96" s="111"/>
      <c r="R96" s="73"/>
      <c r="S96" s="118"/>
      <c r="T96" s="72"/>
      <c r="U96" s="72"/>
      <c r="V96" s="118"/>
      <c r="W96" s="72"/>
      <c r="X96" s="72"/>
      <c r="Y96" s="118"/>
      <c r="Z96" s="73"/>
      <c r="AA96" s="73"/>
      <c r="AB96" s="118"/>
      <c r="AC96" s="72"/>
      <c r="AD96" s="73"/>
      <c r="AE96" s="118"/>
      <c r="AF96" s="73"/>
      <c r="AG96" s="73"/>
      <c r="AH96" s="118"/>
      <c r="AI96" s="72"/>
      <c r="AJ96" s="72"/>
      <c r="AK96" s="118"/>
      <c r="AL96" s="70"/>
      <c r="AM96" s="89" t="s">
        <v>333</v>
      </c>
      <c r="AN96" s="70">
        <v>0.6</v>
      </c>
      <c r="AO96" s="70">
        <v>2</v>
      </c>
      <c r="AP96" s="70">
        <v>2</v>
      </c>
      <c r="AQ96" s="70">
        <v>0.6</v>
      </c>
      <c r="AR96" s="70">
        <v>0.6</v>
      </c>
      <c r="AS96" s="70">
        <v>1.3</v>
      </c>
      <c r="AT96" s="70">
        <v>0.9</v>
      </c>
      <c r="AU96" s="70">
        <v>0.7</v>
      </c>
      <c r="AV96" s="70">
        <v>1.7</v>
      </c>
      <c r="AW96" s="70">
        <v>0.4</v>
      </c>
      <c r="AX96" s="95">
        <v>1.3</v>
      </c>
      <c r="AY96" s="70"/>
      <c r="AZ96" s="70"/>
    </row>
    <row r="97" spans="1:52" x14ac:dyDescent="0.35">
      <c r="A97" s="119"/>
      <c r="B97" s="120"/>
      <c r="C97" s="80"/>
      <c r="D97" s="72"/>
      <c r="E97" s="72"/>
      <c r="F97" s="72"/>
      <c r="G97" s="118"/>
      <c r="H97" s="73"/>
      <c r="I97" s="72"/>
      <c r="J97" s="118"/>
      <c r="K97" s="72"/>
      <c r="L97" s="72"/>
      <c r="M97" s="118"/>
      <c r="N97" s="72"/>
      <c r="O97" s="72"/>
      <c r="P97" s="118"/>
      <c r="Q97" s="72"/>
      <c r="R97" s="72"/>
      <c r="S97" s="118"/>
      <c r="T97" s="72"/>
      <c r="U97" s="72"/>
      <c r="V97" s="118"/>
      <c r="W97" s="72"/>
      <c r="X97" s="72"/>
      <c r="Y97" s="118"/>
      <c r="Z97" s="72"/>
      <c r="AA97" s="72"/>
      <c r="AB97" s="118"/>
      <c r="AC97" s="72"/>
      <c r="AD97" s="72"/>
      <c r="AE97" s="118"/>
      <c r="AF97" s="72"/>
      <c r="AG97" s="72"/>
      <c r="AH97" s="118"/>
      <c r="AI97" s="72"/>
      <c r="AJ97" s="72"/>
      <c r="AK97" s="118"/>
      <c r="AL97" s="70"/>
      <c r="AM97" s="89" t="s">
        <v>355</v>
      </c>
      <c r="AN97" s="70">
        <v>0</v>
      </c>
      <c r="AO97" s="70">
        <v>0.8</v>
      </c>
      <c r="AP97" s="70">
        <v>2.5</v>
      </c>
      <c r="AQ97" s="70">
        <v>0.4</v>
      </c>
      <c r="AR97" s="70">
        <v>0.4</v>
      </c>
      <c r="AS97" s="70">
        <v>1.3</v>
      </c>
      <c r="AT97" s="70">
        <v>1</v>
      </c>
      <c r="AU97" s="70">
        <v>1.1000000000000001</v>
      </c>
      <c r="AV97" s="70">
        <v>0.4</v>
      </c>
      <c r="AW97" s="70">
        <v>0</v>
      </c>
      <c r="AX97" s="95">
        <v>0.4</v>
      </c>
      <c r="AY97" s="70"/>
      <c r="AZ97" s="70"/>
    </row>
    <row r="98" spans="1:52" x14ac:dyDescent="0.35">
      <c r="A98" s="119"/>
      <c r="B98" s="120"/>
      <c r="C98" s="80"/>
      <c r="D98" s="72"/>
      <c r="E98" s="72"/>
      <c r="F98" s="72"/>
      <c r="G98" s="118"/>
      <c r="H98" s="72"/>
      <c r="I98" s="72"/>
      <c r="J98" s="118"/>
      <c r="K98" s="73"/>
      <c r="L98" s="73"/>
      <c r="M98" s="118"/>
      <c r="N98" s="110"/>
      <c r="O98" s="73"/>
      <c r="P98" s="118"/>
      <c r="Q98" s="111"/>
      <c r="R98" s="73"/>
      <c r="S98" s="118"/>
      <c r="T98" s="72"/>
      <c r="U98" s="72"/>
      <c r="V98" s="118"/>
      <c r="W98" s="72"/>
      <c r="X98" s="72"/>
      <c r="Y98" s="118"/>
      <c r="Z98" s="72"/>
      <c r="AA98" s="72"/>
      <c r="AB98" s="118"/>
      <c r="AC98" s="72"/>
      <c r="AD98" s="72"/>
      <c r="AE98" s="118"/>
      <c r="AF98" s="72"/>
      <c r="AG98" s="72"/>
      <c r="AH98" s="118"/>
      <c r="AI98" s="72"/>
      <c r="AJ98" s="72"/>
      <c r="AK98" s="118"/>
      <c r="AL98" s="70"/>
      <c r="AM98" s="89" t="s">
        <v>24</v>
      </c>
      <c r="AN98" s="70">
        <v>2</v>
      </c>
      <c r="AO98" s="70">
        <v>0.7</v>
      </c>
      <c r="AP98" s="70">
        <v>0.7</v>
      </c>
      <c r="AQ98" s="70">
        <v>0.3</v>
      </c>
      <c r="AR98" s="70">
        <v>0</v>
      </c>
      <c r="AS98" s="70">
        <v>1.3</v>
      </c>
      <c r="AT98" s="70">
        <v>0.3</v>
      </c>
      <c r="AU98" s="70">
        <v>0.7</v>
      </c>
      <c r="AV98" s="70">
        <v>2.2999999999999998</v>
      </c>
      <c r="AW98" s="70">
        <v>1</v>
      </c>
      <c r="AX98" s="95">
        <v>2</v>
      </c>
      <c r="AY98" s="70"/>
      <c r="AZ98" s="70"/>
    </row>
    <row r="99" spans="1:52" ht="17.25" thickBot="1" x14ac:dyDescent="0.4">
      <c r="A99" s="119" t="s">
        <v>408</v>
      </c>
      <c r="B99" s="80" t="s">
        <v>409</v>
      </c>
      <c r="C99" s="80"/>
      <c r="D99" s="72" t="s">
        <v>2</v>
      </c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0"/>
      <c r="AM99" s="96" t="s">
        <v>361</v>
      </c>
      <c r="AN99" s="97">
        <v>0.3</v>
      </c>
      <c r="AO99" s="97">
        <v>1.7</v>
      </c>
      <c r="AP99" s="97">
        <v>1.3</v>
      </c>
      <c r="AQ99" s="97">
        <v>0.7</v>
      </c>
      <c r="AR99" s="97">
        <v>1.3</v>
      </c>
      <c r="AS99" s="97">
        <v>1</v>
      </c>
      <c r="AT99" s="97">
        <v>1</v>
      </c>
      <c r="AU99" s="97">
        <v>0.7</v>
      </c>
      <c r="AV99" s="97">
        <v>2</v>
      </c>
      <c r="AW99" s="97">
        <v>0.3</v>
      </c>
      <c r="AX99" s="98">
        <v>0</v>
      </c>
      <c r="AY99" s="70"/>
      <c r="AZ99" s="70"/>
    </row>
    <row r="100" spans="1:52" x14ac:dyDescent="0.35">
      <c r="A100" s="119"/>
      <c r="B100" s="80" t="s">
        <v>410</v>
      </c>
      <c r="C100" s="80"/>
      <c r="D100" s="72" t="s">
        <v>2</v>
      </c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0"/>
      <c r="AM100" s="92" t="s">
        <v>382</v>
      </c>
      <c r="AN100" s="92">
        <v>0.57999999999999996</v>
      </c>
      <c r="AO100" s="92">
        <v>1.64</v>
      </c>
      <c r="AP100" s="92">
        <v>1.9</v>
      </c>
      <c r="AQ100" s="92">
        <v>0.4</v>
      </c>
      <c r="AR100" s="92">
        <v>0.56000000000000005</v>
      </c>
      <c r="AS100" s="92">
        <v>1.28</v>
      </c>
      <c r="AT100" s="92">
        <v>0.94</v>
      </c>
      <c r="AU100" s="92">
        <v>0.84</v>
      </c>
      <c r="AV100" s="92">
        <v>1.28</v>
      </c>
      <c r="AW100" s="92">
        <v>0.34</v>
      </c>
      <c r="AX100" s="92">
        <v>1.04</v>
      </c>
      <c r="AY100" s="70"/>
      <c r="AZ100" s="70"/>
    </row>
    <row r="101" spans="1:52" ht="30" x14ac:dyDescent="0.35">
      <c r="A101" s="119"/>
      <c r="B101" s="80" t="s">
        <v>411</v>
      </c>
      <c r="C101" s="80"/>
      <c r="D101" s="72" t="s">
        <v>2</v>
      </c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</row>
    <row r="102" spans="1:52" x14ac:dyDescent="0.35">
      <c r="A102" s="119"/>
      <c r="B102" s="80" t="s">
        <v>412</v>
      </c>
      <c r="C102" s="80"/>
      <c r="D102" s="72" t="s">
        <v>2</v>
      </c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</row>
    <row r="103" spans="1:52" x14ac:dyDescent="0.35">
      <c r="A103" s="119"/>
      <c r="B103" s="80" t="s">
        <v>413</v>
      </c>
      <c r="C103" s="80"/>
      <c r="D103" s="72" t="s">
        <v>2</v>
      </c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</row>
    <row r="104" spans="1:52" x14ac:dyDescent="0.35">
      <c r="A104" s="119"/>
      <c r="B104" s="80" t="s">
        <v>414</v>
      </c>
      <c r="C104" s="80"/>
      <c r="D104" s="72" t="s">
        <v>2</v>
      </c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</row>
    <row r="105" spans="1:52" x14ac:dyDescent="0.35">
      <c r="A105" s="70"/>
      <c r="B105" s="70"/>
      <c r="C105" s="70"/>
      <c r="D105" s="84"/>
      <c r="E105" s="84"/>
      <c r="F105" s="84"/>
      <c r="G105" s="84"/>
      <c r="H105" s="84"/>
      <c r="I105" s="84"/>
      <c r="J105" s="84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</row>
    <row r="106" spans="1:52" x14ac:dyDescent="0.35">
      <c r="A106" s="70"/>
      <c r="B106" s="70"/>
      <c r="C106" s="70"/>
      <c r="D106" s="84"/>
      <c r="E106" s="84"/>
      <c r="F106" s="84"/>
      <c r="G106" s="84"/>
      <c r="H106" s="84"/>
      <c r="I106" s="84"/>
      <c r="J106" s="84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</row>
    <row r="107" spans="1:52" x14ac:dyDescent="0.35">
      <c r="A107" s="70"/>
      <c r="B107" s="70"/>
      <c r="C107" s="70"/>
      <c r="D107" s="84"/>
      <c r="E107" s="84"/>
      <c r="F107" s="84"/>
      <c r="G107" s="84"/>
      <c r="H107" s="84"/>
      <c r="I107" s="84"/>
      <c r="J107" s="84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</row>
    <row r="108" spans="1:52" x14ac:dyDescent="0.35">
      <c r="A108" s="70" t="s">
        <v>639</v>
      </c>
      <c r="B108" s="112">
        <v>46224</v>
      </c>
      <c r="C108" s="70"/>
      <c r="D108" s="84"/>
      <c r="E108" s="84"/>
      <c r="F108" s="84"/>
      <c r="G108" s="84"/>
      <c r="H108" s="84"/>
      <c r="I108" s="84"/>
      <c r="J108" s="84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</row>
    <row r="109" spans="1:52" x14ac:dyDescent="0.35">
      <c r="A109" s="70"/>
      <c r="B109" s="70"/>
      <c r="C109" s="70"/>
      <c r="D109" s="84"/>
      <c r="E109" s="84"/>
      <c r="F109" s="84"/>
      <c r="G109" s="84"/>
      <c r="H109" s="84"/>
      <c r="I109" s="84"/>
      <c r="J109" s="84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</row>
    <row r="110" spans="1:52" x14ac:dyDescent="0.35">
      <c r="A110" s="70"/>
      <c r="B110" s="70"/>
      <c r="C110" s="70"/>
      <c r="D110" s="84"/>
      <c r="E110" s="84"/>
      <c r="F110" s="84"/>
      <c r="G110" s="84"/>
      <c r="H110" s="84"/>
      <c r="I110" s="84"/>
      <c r="J110" s="84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</row>
    <row r="111" spans="1:52" x14ac:dyDescent="0.35">
      <c r="A111" s="70"/>
      <c r="B111" s="70"/>
      <c r="C111" s="70"/>
      <c r="D111" s="84"/>
      <c r="E111" s="84"/>
      <c r="F111" s="84"/>
      <c r="G111" s="84"/>
      <c r="H111" s="84"/>
      <c r="I111" s="84"/>
      <c r="J111" s="84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</row>
    <row r="112" spans="1:52" x14ac:dyDescent="0.35">
      <c r="A112" s="70"/>
      <c r="B112" s="70"/>
      <c r="C112" s="70"/>
      <c r="D112" s="84"/>
      <c r="E112" s="84"/>
      <c r="F112" s="84"/>
      <c r="G112" s="84"/>
      <c r="H112" s="84"/>
      <c r="I112" s="84"/>
      <c r="J112" s="84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</row>
    <row r="113" spans="1:52" x14ac:dyDescent="0.35">
      <c r="A113" s="70"/>
      <c r="B113" s="70"/>
      <c r="C113" s="70"/>
      <c r="D113" s="84"/>
      <c r="E113" s="84"/>
      <c r="F113" s="84"/>
      <c r="G113" s="84"/>
      <c r="H113" s="84"/>
      <c r="I113" s="84"/>
      <c r="J113" s="84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</row>
    <row r="114" spans="1:52" x14ac:dyDescent="0.35">
      <c r="A114" s="70"/>
      <c r="B114" s="70"/>
      <c r="C114" s="70"/>
      <c r="D114" s="84"/>
      <c r="E114" s="84"/>
      <c r="F114" s="84"/>
      <c r="G114" s="84"/>
      <c r="H114" s="84"/>
      <c r="I114" s="84"/>
      <c r="J114" s="84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</row>
    <row r="115" spans="1:52" x14ac:dyDescent="0.35">
      <c r="A115" s="70"/>
      <c r="B115" s="70"/>
      <c r="C115" s="70"/>
      <c r="D115" s="84"/>
      <c r="E115" s="84"/>
      <c r="F115" s="84"/>
      <c r="G115" s="84"/>
      <c r="H115" s="84"/>
      <c r="I115" s="84"/>
      <c r="J115" s="84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</row>
    <row r="116" spans="1:52" x14ac:dyDescent="0.35">
      <c r="A116" s="70"/>
      <c r="B116" s="70"/>
      <c r="C116" s="70"/>
      <c r="D116" s="84"/>
      <c r="E116" s="84"/>
      <c r="F116" s="84"/>
      <c r="G116" s="84"/>
      <c r="H116" s="84"/>
      <c r="I116" s="84"/>
      <c r="J116" s="84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</row>
    <row r="117" spans="1:52" x14ac:dyDescent="0.35">
      <c r="A117" s="70"/>
      <c r="B117" s="70"/>
      <c r="C117" s="70"/>
      <c r="D117" s="84"/>
      <c r="E117" s="84"/>
      <c r="F117" s="84"/>
      <c r="G117" s="84"/>
      <c r="H117" s="84"/>
      <c r="I117" s="84"/>
      <c r="J117" s="84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</row>
    <row r="118" spans="1:52" x14ac:dyDescent="0.35">
      <c r="A118" s="70"/>
      <c r="B118" s="70"/>
      <c r="C118" s="70"/>
      <c r="D118" s="84"/>
      <c r="E118" s="84"/>
      <c r="F118" s="84"/>
      <c r="G118" s="84"/>
      <c r="H118" s="84"/>
      <c r="I118" s="84"/>
      <c r="J118" s="84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</row>
    <row r="119" spans="1:52" x14ac:dyDescent="0.35">
      <c r="A119" s="70"/>
      <c r="B119" s="70"/>
      <c r="C119" s="70"/>
      <c r="D119" s="84"/>
      <c r="E119" s="84"/>
      <c r="F119" s="84"/>
      <c r="G119" s="84"/>
      <c r="H119" s="84"/>
      <c r="I119" s="84"/>
      <c r="J119" s="84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</row>
    <row r="120" spans="1:52" x14ac:dyDescent="0.35">
      <c r="A120" s="70"/>
      <c r="B120" s="70"/>
      <c r="C120" s="70"/>
      <c r="D120" s="84"/>
      <c r="E120" s="84"/>
      <c r="F120" s="84"/>
      <c r="G120" s="84"/>
      <c r="H120" s="84"/>
      <c r="I120" s="84"/>
      <c r="J120" s="84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</row>
    <row r="121" spans="1:52" x14ac:dyDescent="0.35">
      <c r="A121" s="70"/>
      <c r="B121" s="70"/>
      <c r="C121" s="70"/>
      <c r="D121" s="84"/>
      <c r="E121" s="84"/>
      <c r="F121" s="84"/>
      <c r="G121" s="84"/>
      <c r="H121" s="84"/>
      <c r="I121" s="84"/>
      <c r="J121" s="84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</row>
    <row r="122" spans="1:52" x14ac:dyDescent="0.35">
      <c r="A122" s="70"/>
      <c r="B122" s="70"/>
      <c r="C122" s="70"/>
      <c r="D122" s="84"/>
      <c r="E122" s="84"/>
      <c r="F122" s="84"/>
      <c r="G122" s="84"/>
      <c r="H122" s="84"/>
      <c r="I122" s="84"/>
      <c r="J122" s="84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</row>
    <row r="123" spans="1:52" x14ac:dyDescent="0.35">
      <c r="A123" s="70"/>
      <c r="B123" s="70"/>
      <c r="C123" s="70"/>
      <c r="D123" s="84"/>
      <c r="E123" s="84"/>
      <c r="F123" s="84"/>
      <c r="G123" s="84"/>
      <c r="H123" s="84"/>
      <c r="I123" s="84"/>
      <c r="J123" s="84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</row>
    <row r="124" spans="1:52" x14ac:dyDescent="0.35">
      <c r="A124" s="70"/>
      <c r="B124" s="70"/>
      <c r="C124" s="70"/>
      <c r="D124" s="84"/>
      <c r="E124" s="84"/>
      <c r="F124" s="84"/>
      <c r="G124" s="84"/>
      <c r="H124" s="84"/>
      <c r="I124" s="84"/>
      <c r="J124" s="84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</row>
    <row r="125" spans="1:52" x14ac:dyDescent="0.35">
      <c r="A125" s="70"/>
      <c r="B125" s="70"/>
      <c r="C125" s="70"/>
      <c r="D125" s="84"/>
      <c r="E125" s="84"/>
      <c r="F125" s="84"/>
      <c r="G125" s="84"/>
      <c r="H125" s="84"/>
      <c r="I125" s="84"/>
      <c r="J125" s="84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</row>
    <row r="126" spans="1:52" x14ac:dyDescent="0.35">
      <c r="A126" s="70"/>
      <c r="B126" s="70"/>
      <c r="C126" s="70"/>
      <c r="D126" s="84"/>
      <c r="E126" s="84"/>
      <c r="F126" s="84"/>
      <c r="G126" s="84"/>
      <c r="H126" s="84"/>
      <c r="I126" s="84"/>
      <c r="J126" s="84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</row>
    <row r="127" spans="1:52" x14ac:dyDescent="0.35">
      <c r="A127" s="70"/>
      <c r="B127" s="70"/>
      <c r="C127" s="70"/>
      <c r="D127" s="84"/>
      <c r="E127" s="84"/>
      <c r="F127" s="84"/>
      <c r="G127" s="84"/>
      <c r="H127" s="84"/>
      <c r="I127" s="84"/>
      <c r="J127" s="84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</row>
    <row r="128" spans="1:52" x14ac:dyDescent="0.35">
      <c r="A128" s="70"/>
      <c r="B128" s="70"/>
      <c r="C128" s="70"/>
      <c r="D128" s="84"/>
      <c r="E128" s="84"/>
      <c r="F128" s="84"/>
      <c r="G128" s="84"/>
      <c r="H128" s="84"/>
      <c r="I128" s="84"/>
      <c r="J128" s="84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</row>
    <row r="129" spans="1:52" x14ac:dyDescent="0.35">
      <c r="A129" s="70"/>
      <c r="B129" s="70"/>
      <c r="C129" s="70"/>
      <c r="D129" s="84"/>
      <c r="E129" s="84"/>
      <c r="F129" s="84"/>
      <c r="G129" s="84"/>
      <c r="H129" s="84"/>
      <c r="I129" s="84"/>
      <c r="J129" s="84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</row>
    <row r="130" spans="1:52" x14ac:dyDescent="0.35">
      <c r="A130" s="70"/>
      <c r="B130" s="70"/>
      <c r="C130" s="70"/>
      <c r="D130" s="84"/>
      <c r="E130" s="84"/>
      <c r="F130" s="84"/>
      <c r="G130" s="84"/>
      <c r="H130" s="84"/>
      <c r="I130" s="84"/>
      <c r="J130" s="84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  <c r="AX130" s="70"/>
      <c r="AY130" s="70"/>
      <c r="AZ130" s="70"/>
    </row>
    <row r="131" spans="1:52" x14ac:dyDescent="0.35">
      <c r="A131" s="70"/>
      <c r="B131" s="70"/>
      <c r="C131" s="70"/>
      <c r="D131" s="84"/>
      <c r="E131" s="84"/>
      <c r="F131" s="84"/>
      <c r="G131" s="84"/>
      <c r="H131" s="84"/>
      <c r="I131" s="84"/>
      <c r="J131" s="84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</row>
    <row r="132" spans="1:52" x14ac:dyDescent="0.35">
      <c r="A132" s="70"/>
      <c r="B132" s="70"/>
      <c r="C132" s="70"/>
      <c r="D132" s="84"/>
      <c r="E132" s="84"/>
      <c r="F132" s="84"/>
      <c r="G132" s="84"/>
      <c r="H132" s="84"/>
      <c r="I132" s="84"/>
      <c r="J132" s="84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  <c r="AZ132" s="70"/>
    </row>
    <row r="133" spans="1:52" x14ac:dyDescent="0.35">
      <c r="A133" s="70"/>
      <c r="B133" s="70"/>
      <c r="C133" s="70"/>
      <c r="D133" s="84"/>
      <c r="E133" s="84"/>
      <c r="F133" s="84"/>
      <c r="G133" s="84"/>
      <c r="H133" s="84"/>
      <c r="I133" s="84"/>
      <c r="J133" s="84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  <c r="AX133" s="70"/>
      <c r="AY133" s="70"/>
      <c r="AZ133" s="70"/>
    </row>
    <row r="134" spans="1:52" x14ac:dyDescent="0.35">
      <c r="A134" s="70"/>
      <c r="B134" s="70"/>
      <c r="C134" s="70"/>
      <c r="D134" s="84"/>
      <c r="E134" s="84"/>
      <c r="F134" s="84"/>
      <c r="G134" s="84"/>
      <c r="H134" s="84"/>
      <c r="I134" s="84"/>
      <c r="J134" s="84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  <c r="AX134" s="70"/>
      <c r="AY134" s="70"/>
      <c r="AZ134" s="70"/>
    </row>
    <row r="135" spans="1:52" x14ac:dyDescent="0.35">
      <c r="A135" s="70"/>
      <c r="B135" s="70"/>
      <c r="C135" s="70"/>
      <c r="D135" s="84"/>
      <c r="E135" s="84"/>
      <c r="F135" s="84"/>
      <c r="G135" s="84"/>
      <c r="H135" s="84"/>
      <c r="I135" s="84"/>
      <c r="J135" s="84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  <c r="AZ135" s="70"/>
    </row>
    <row r="136" spans="1:52" x14ac:dyDescent="0.35">
      <c r="A136" s="70"/>
      <c r="B136" s="70"/>
      <c r="C136" s="70"/>
      <c r="D136" s="84"/>
      <c r="E136" s="84"/>
      <c r="F136" s="84"/>
      <c r="G136" s="84"/>
      <c r="H136" s="84"/>
      <c r="I136" s="84"/>
      <c r="J136" s="84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  <c r="AX136" s="70"/>
      <c r="AY136" s="70"/>
      <c r="AZ136" s="70"/>
    </row>
  </sheetData>
  <mergeCells count="172">
    <mergeCell ref="X1:Y1"/>
    <mergeCell ref="AA1:AB1"/>
    <mergeCell ref="AD1:AE1"/>
    <mergeCell ref="AG1:AH1"/>
    <mergeCell ref="AJ1:AK1"/>
    <mergeCell ref="A3:A75"/>
    <mergeCell ref="B3:B13"/>
    <mergeCell ref="G3:G13"/>
    <mergeCell ref="J3:J13"/>
    <mergeCell ref="M3:M13"/>
    <mergeCell ref="F1:G1"/>
    <mergeCell ref="I1:J1"/>
    <mergeCell ref="L1:M1"/>
    <mergeCell ref="O1:P1"/>
    <mergeCell ref="R1:S1"/>
    <mergeCell ref="U1:V1"/>
    <mergeCell ref="AH3:AH13"/>
    <mergeCell ref="AK3:AK13"/>
    <mergeCell ref="B14:B22"/>
    <mergeCell ref="G14:G22"/>
    <mergeCell ref="J14:J22"/>
    <mergeCell ref="M14:M22"/>
    <mergeCell ref="P14:P22"/>
    <mergeCell ref="S14:S22"/>
    <mergeCell ref="V14:V22"/>
    <mergeCell ref="Y14:Y22"/>
    <mergeCell ref="P3:P13"/>
    <mergeCell ref="S3:S13"/>
    <mergeCell ref="V3:V13"/>
    <mergeCell ref="Y3:Y13"/>
    <mergeCell ref="AB3:AB13"/>
    <mergeCell ref="AE3:AE13"/>
    <mergeCell ref="AE23:AE34"/>
    <mergeCell ref="AH23:AH34"/>
    <mergeCell ref="AK23:AK34"/>
    <mergeCell ref="AB14:AB22"/>
    <mergeCell ref="AE14:AE22"/>
    <mergeCell ref="AH14:AH22"/>
    <mergeCell ref="AK14:AK22"/>
    <mergeCell ref="B23:B28"/>
    <mergeCell ref="G23:G34"/>
    <mergeCell ref="J23:J34"/>
    <mergeCell ref="M23:M34"/>
    <mergeCell ref="P23:P34"/>
    <mergeCell ref="S23:S34"/>
    <mergeCell ref="B31:B34"/>
    <mergeCell ref="B35:B48"/>
    <mergeCell ref="G36:G48"/>
    <mergeCell ref="J36:J48"/>
    <mergeCell ref="M36:M48"/>
    <mergeCell ref="P36:P48"/>
    <mergeCell ref="V23:V34"/>
    <mergeCell ref="Y23:Y34"/>
    <mergeCell ref="AB23:AB34"/>
    <mergeCell ref="B65:B70"/>
    <mergeCell ref="G65:G70"/>
    <mergeCell ref="J65:J70"/>
    <mergeCell ref="M65:M70"/>
    <mergeCell ref="P65:P70"/>
    <mergeCell ref="S65:S70"/>
    <mergeCell ref="AK36:AK48"/>
    <mergeCell ref="B49:B52"/>
    <mergeCell ref="B53:B64"/>
    <mergeCell ref="G53:G64"/>
    <mergeCell ref="J53:J64"/>
    <mergeCell ref="M53:M64"/>
    <mergeCell ref="P53:P64"/>
    <mergeCell ref="S53:S64"/>
    <mergeCell ref="V53:V64"/>
    <mergeCell ref="Y53:Y64"/>
    <mergeCell ref="S36:S48"/>
    <mergeCell ref="V36:V48"/>
    <mergeCell ref="Y36:Y48"/>
    <mergeCell ref="AB36:AB48"/>
    <mergeCell ref="AE36:AE48"/>
    <mergeCell ref="AH36:AH48"/>
    <mergeCell ref="V65:V70"/>
    <mergeCell ref="Y65:Y70"/>
    <mergeCell ref="AB65:AB70"/>
    <mergeCell ref="AE65:AE70"/>
    <mergeCell ref="AH65:AH70"/>
    <mergeCell ref="AK65:AK70"/>
    <mergeCell ref="AB53:AB64"/>
    <mergeCell ref="AE53:AE64"/>
    <mergeCell ref="AH53:AH64"/>
    <mergeCell ref="AK53:AK64"/>
    <mergeCell ref="V71:V72"/>
    <mergeCell ref="Y71:Y72"/>
    <mergeCell ref="AB71:AB72"/>
    <mergeCell ref="AE71:AE72"/>
    <mergeCell ref="AH71:AH72"/>
    <mergeCell ref="AK71:AK72"/>
    <mergeCell ref="B71:B72"/>
    <mergeCell ref="G71:G72"/>
    <mergeCell ref="J71:J72"/>
    <mergeCell ref="M71:M72"/>
    <mergeCell ref="P71:P72"/>
    <mergeCell ref="S71:S72"/>
    <mergeCell ref="V73:V75"/>
    <mergeCell ref="Y73:Y75"/>
    <mergeCell ref="AB73:AB75"/>
    <mergeCell ref="AE73:AE75"/>
    <mergeCell ref="AH73:AH75"/>
    <mergeCell ref="AK73:AK75"/>
    <mergeCell ref="B73:B75"/>
    <mergeCell ref="G73:G75"/>
    <mergeCell ref="J73:J75"/>
    <mergeCell ref="M73:M75"/>
    <mergeCell ref="P73:P75"/>
    <mergeCell ref="S73:S75"/>
    <mergeCell ref="AK76:AK77"/>
    <mergeCell ref="B78:B84"/>
    <mergeCell ref="G78:G84"/>
    <mergeCell ref="J78:J84"/>
    <mergeCell ref="M78:M84"/>
    <mergeCell ref="P78:P84"/>
    <mergeCell ref="S78:S84"/>
    <mergeCell ref="V78:V84"/>
    <mergeCell ref="Y78:Y84"/>
    <mergeCell ref="AB78:AB84"/>
    <mergeCell ref="S76:S77"/>
    <mergeCell ref="V76:V77"/>
    <mergeCell ref="Y76:Y77"/>
    <mergeCell ref="AB76:AB77"/>
    <mergeCell ref="AE76:AE77"/>
    <mergeCell ref="AH76:AH77"/>
    <mergeCell ref="B76:B77"/>
    <mergeCell ref="G76:G77"/>
    <mergeCell ref="J76:J77"/>
    <mergeCell ref="M76:M77"/>
    <mergeCell ref="P76:P77"/>
    <mergeCell ref="AE78:AE84"/>
    <mergeCell ref="AH78:AH84"/>
    <mergeCell ref="AK78:AK84"/>
    <mergeCell ref="B85:B92"/>
    <mergeCell ref="G85:G92"/>
    <mergeCell ref="J85:J92"/>
    <mergeCell ref="M85:M92"/>
    <mergeCell ref="P85:P92"/>
    <mergeCell ref="S85:S92"/>
    <mergeCell ref="V85:V92"/>
    <mergeCell ref="Y85:Y92"/>
    <mergeCell ref="AB85:AB92"/>
    <mergeCell ref="AE85:AE92"/>
    <mergeCell ref="AH85:AH92"/>
    <mergeCell ref="AK85:AK92"/>
    <mergeCell ref="B93:B95"/>
    <mergeCell ref="G93:G95"/>
    <mergeCell ref="J93:J95"/>
    <mergeCell ref="M93:M95"/>
    <mergeCell ref="P93:P95"/>
    <mergeCell ref="AE96:AE98"/>
    <mergeCell ref="AH96:AH98"/>
    <mergeCell ref="AK96:AK98"/>
    <mergeCell ref="A99:A104"/>
    <mergeCell ref="AK93:AK95"/>
    <mergeCell ref="B96:B98"/>
    <mergeCell ref="G96:G98"/>
    <mergeCell ref="J96:J98"/>
    <mergeCell ref="M96:M98"/>
    <mergeCell ref="P96:P98"/>
    <mergeCell ref="S96:S98"/>
    <mergeCell ref="V96:V98"/>
    <mergeCell ref="Y96:Y98"/>
    <mergeCell ref="AB96:AB98"/>
    <mergeCell ref="S93:S95"/>
    <mergeCell ref="V93:V95"/>
    <mergeCell ref="Y93:Y95"/>
    <mergeCell ref="AB93:AB95"/>
    <mergeCell ref="AE93:AE95"/>
    <mergeCell ref="AH93:AH95"/>
    <mergeCell ref="A76:A98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9E03-7C90-4BBF-B4A7-C26D06B9AAF3}">
  <dimension ref="A1:AT72"/>
  <sheetViews>
    <sheetView zoomScaleNormal="100" workbookViewId="0">
      <pane xSplit="7" ySplit="1" topLeftCell="Y2" activePane="bottomRight" state="frozen"/>
      <selection pane="topRight" activeCell="H1" sqref="H1"/>
      <selection pane="bottomLeft" activeCell="A2" sqref="A2"/>
      <selection pane="bottomRight" activeCell="AJ67" sqref="AJ67:AK67"/>
    </sheetView>
  </sheetViews>
  <sheetFormatPr defaultColWidth="9" defaultRowHeight="16.5" x14ac:dyDescent="0.35"/>
  <cols>
    <col min="1" max="2" width="9" style="9"/>
    <col min="3" max="3" width="23.42578125" style="9" bestFit="1" customWidth="1"/>
    <col min="4" max="4" width="9" style="14"/>
    <col min="5" max="5" width="13.140625" style="14" bestFit="1" customWidth="1"/>
    <col min="6" max="6" width="4.42578125" style="14" bestFit="1" customWidth="1"/>
    <col min="7" max="7" width="4.42578125" style="14" customWidth="1"/>
    <col min="8" max="8" width="13" style="9" bestFit="1" customWidth="1"/>
    <col min="9" max="9" width="4.42578125" style="9" bestFit="1" customWidth="1"/>
    <col min="10" max="10" width="4.42578125" style="9" customWidth="1"/>
    <col min="11" max="11" width="12" style="9" bestFit="1" customWidth="1"/>
    <col min="12" max="12" width="4.42578125" style="9" bestFit="1" customWidth="1"/>
    <col min="13" max="13" width="4.42578125" style="9" customWidth="1"/>
    <col min="14" max="14" width="11.5703125" style="9" bestFit="1" customWidth="1"/>
    <col min="15" max="15" width="4.42578125" style="9" bestFit="1" customWidth="1"/>
    <col min="16" max="16" width="4.42578125" style="9" customWidth="1"/>
    <col min="17" max="17" width="11.42578125" style="9" bestFit="1" customWidth="1"/>
    <col min="18" max="18" width="4.42578125" style="9" bestFit="1" customWidth="1"/>
    <col min="19" max="19" width="4.42578125" style="9" customWidth="1"/>
    <col min="20" max="20" width="12.7109375" style="9" bestFit="1" customWidth="1"/>
    <col min="21" max="21" width="4.42578125" style="9" bestFit="1" customWidth="1"/>
    <col min="22" max="22" width="4.42578125" style="9" customWidth="1"/>
    <col min="23" max="23" width="12.5703125" style="9" bestFit="1" customWidth="1"/>
    <col min="24" max="24" width="4.42578125" style="9" bestFit="1" customWidth="1"/>
    <col min="25" max="25" width="4.42578125" style="9" customWidth="1"/>
    <col min="26" max="26" width="13.85546875" style="9" bestFit="1" customWidth="1"/>
    <col min="27" max="27" width="4.42578125" style="9" bestFit="1" customWidth="1"/>
    <col min="28" max="28" width="4.42578125" style="9" customWidth="1"/>
    <col min="29" max="29" width="13.140625" style="9" bestFit="1" customWidth="1"/>
    <col min="30" max="30" width="4.42578125" style="9" bestFit="1" customWidth="1"/>
    <col min="31" max="31" width="4.42578125" style="9" customWidth="1"/>
    <col min="32" max="32" width="12.5703125" style="9" customWidth="1"/>
    <col min="33" max="33" width="4.42578125" style="9" bestFit="1" customWidth="1"/>
    <col min="34" max="34" width="4.42578125" style="9" customWidth="1"/>
    <col min="35" max="16384" width="9" style="9"/>
  </cols>
  <sheetData>
    <row r="1" spans="1:36" ht="15" customHeight="1" x14ac:dyDescent="0.35">
      <c r="A1" s="1" t="s">
        <v>313</v>
      </c>
      <c r="B1" s="1" t="s">
        <v>314</v>
      </c>
      <c r="C1" s="2" t="s">
        <v>315</v>
      </c>
      <c r="D1" s="3" t="s">
        <v>316</v>
      </c>
      <c r="E1" s="3" t="s">
        <v>46</v>
      </c>
      <c r="F1" s="145" t="s">
        <v>317</v>
      </c>
      <c r="G1" s="146"/>
      <c r="H1" s="3" t="s">
        <v>47</v>
      </c>
      <c r="I1" s="145" t="s">
        <v>317</v>
      </c>
      <c r="J1" s="146"/>
      <c r="K1" s="3" t="s">
        <v>48</v>
      </c>
      <c r="L1" s="145" t="s">
        <v>317</v>
      </c>
      <c r="M1" s="146"/>
      <c r="N1" s="3" t="s">
        <v>49</v>
      </c>
      <c r="O1" s="145" t="s">
        <v>317</v>
      </c>
      <c r="P1" s="146"/>
      <c r="Q1" s="3" t="s">
        <v>50</v>
      </c>
      <c r="R1" s="145" t="s">
        <v>317</v>
      </c>
      <c r="S1" s="146"/>
      <c r="T1" s="3" t="s">
        <v>51</v>
      </c>
      <c r="U1" s="145" t="s">
        <v>317</v>
      </c>
      <c r="V1" s="146"/>
      <c r="W1" s="3" t="s">
        <v>52</v>
      </c>
      <c r="X1" s="145" t="s">
        <v>317</v>
      </c>
      <c r="Y1" s="146"/>
      <c r="Z1" s="3" t="s">
        <v>53</v>
      </c>
      <c r="AA1" s="145" t="s">
        <v>317</v>
      </c>
      <c r="AB1" s="146"/>
      <c r="AC1" s="3" t="s">
        <v>54</v>
      </c>
      <c r="AD1" s="145" t="s">
        <v>317</v>
      </c>
      <c r="AE1" s="146"/>
      <c r="AF1" s="3" t="s">
        <v>55</v>
      </c>
      <c r="AG1" s="147" t="s">
        <v>317</v>
      </c>
      <c r="AH1" s="148"/>
      <c r="AJ1" s="42" t="s">
        <v>415</v>
      </c>
    </row>
    <row r="2" spans="1:36" x14ac:dyDescent="0.35">
      <c r="A2" s="158" t="s">
        <v>319</v>
      </c>
      <c r="B2" s="157" t="s">
        <v>320</v>
      </c>
      <c r="C2" s="4" t="s">
        <v>321</v>
      </c>
      <c r="D2" s="4" t="s">
        <v>0</v>
      </c>
      <c r="E2" s="4" t="s">
        <v>56</v>
      </c>
      <c r="F2" s="4">
        <v>1</v>
      </c>
      <c r="G2" s="152">
        <v>2.5</v>
      </c>
      <c r="H2" s="10" t="s">
        <v>57</v>
      </c>
      <c r="I2" s="10">
        <v>5</v>
      </c>
      <c r="J2" s="140">
        <v>3.5</v>
      </c>
      <c r="K2" s="10" t="s">
        <v>58</v>
      </c>
      <c r="L2" s="10">
        <v>5</v>
      </c>
      <c r="M2" s="140">
        <v>3</v>
      </c>
      <c r="N2" s="10" t="s">
        <v>59</v>
      </c>
      <c r="O2" s="10">
        <v>3</v>
      </c>
      <c r="P2" s="140">
        <v>3</v>
      </c>
      <c r="Q2" s="10" t="s">
        <v>60</v>
      </c>
      <c r="R2" s="10">
        <v>1</v>
      </c>
      <c r="S2" s="140">
        <v>2.5</v>
      </c>
      <c r="T2" s="10" t="s">
        <v>61</v>
      </c>
      <c r="U2" s="10">
        <v>1</v>
      </c>
      <c r="V2" s="140">
        <v>2</v>
      </c>
      <c r="W2" s="10" t="s">
        <v>62</v>
      </c>
      <c r="X2" s="10">
        <v>5</v>
      </c>
      <c r="Y2" s="140">
        <v>4</v>
      </c>
      <c r="Z2" s="10">
        <v>5650</v>
      </c>
      <c r="AA2" s="10">
        <v>1</v>
      </c>
      <c r="AB2" s="140">
        <v>2</v>
      </c>
      <c r="AC2" s="10">
        <v>5740</v>
      </c>
      <c r="AD2" s="10">
        <v>1</v>
      </c>
      <c r="AE2" s="140">
        <v>2.5</v>
      </c>
      <c r="AF2" s="10">
        <v>5300</v>
      </c>
      <c r="AG2" s="10">
        <v>3</v>
      </c>
      <c r="AH2" s="140">
        <v>3</v>
      </c>
      <c r="AI2" s="9" t="s">
        <v>320</v>
      </c>
      <c r="AJ2" s="35" t="s">
        <v>416</v>
      </c>
    </row>
    <row r="3" spans="1:36" x14ac:dyDescent="0.35">
      <c r="A3" s="158"/>
      <c r="B3" s="157"/>
      <c r="C3" s="4" t="s">
        <v>323</v>
      </c>
      <c r="D3" s="4" t="s">
        <v>1</v>
      </c>
      <c r="E3" s="4">
        <v>1960</v>
      </c>
      <c r="F3" s="4">
        <v>3</v>
      </c>
      <c r="G3" s="153"/>
      <c r="H3" s="10">
        <v>1980</v>
      </c>
      <c r="I3" s="10">
        <v>3</v>
      </c>
      <c r="J3" s="139"/>
      <c r="K3" s="10">
        <v>2000</v>
      </c>
      <c r="L3" s="10">
        <v>3</v>
      </c>
      <c r="M3" s="139"/>
      <c r="N3" s="10">
        <v>1960</v>
      </c>
      <c r="O3" s="10">
        <v>3</v>
      </c>
      <c r="P3" s="139"/>
      <c r="Q3" s="10">
        <v>1960</v>
      </c>
      <c r="R3" s="10">
        <v>3</v>
      </c>
      <c r="S3" s="139"/>
      <c r="T3" s="10">
        <v>1960</v>
      </c>
      <c r="U3" s="10">
        <v>3</v>
      </c>
      <c r="V3" s="139"/>
      <c r="W3" s="10">
        <v>2000</v>
      </c>
      <c r="X3" s="10">
        <v>3</v>
      </c>
      <c r="Y3" s="139"/>
      <c r="Z3" s="10">
        <v>2000</v>
      </c>
      <c r="AA3" s="10">
        <v>3</v>
      </c>
      <c r="AB3" s="139"/>
      <c r="AC3" s="10">
        <v>1980</v>
      </c>
      <c r="AD3" s="10">
        <v>3</v>
      </c>
      <c r="AE3" s="139"/>
      <c r="AF3" s="10">
        <v>1960</v>
      </c>
      <c r="AG3" s="10">
        <v>3</v>
      </c>
      <c r="AH3" s="139"/>
      <c r="AI3" s="9" t="s">
        <v>324</v>
      </c>
      <c r="AJ3" s="35" t="s">
        <v>417</v>
      </c>
    </row>
    <row r="4" spans="1:36" x14ac:dyDescent="0.35">
      <c r="A4" s="158"/>
      <c r="B4" s="157"/>
      <c r="C4" s="4" t="s">
        <v>326</v>
      </c>
      <c r="D4" s="4" t="s">
        <v>1</v>
      </c>
      <c r="E4" s="4">
        <v>2555</v>
      </c>
      <c r="F4" s="4">
        <v>3</v>
      </c>
      <c r="G4" s="153"/>
      <c r="H4" s="10">
        <v>2550</v>
      </c>
      <c r="I4" s="10">
        <v>3</v>
      </c>
      <c r="J4" s="139"/>
      <c r="K4" s="10">
        <v>2530</v>
      </c>
      <c r="L4" s="10">
        <v>3</v>
      </c>
      <c r="M4" s="139"/>
      <c r="N4" s="10">
        <v>2545</v>
      </c>
      <c r="O4" s="10">
        <v>3</v>
      </c>
      <c r="P4" s="139"/>
      <c r="Q4" s="10">
        <v>2550</v>
      </c>
      <c r="R4" s="10">
        <v>3</v>
      </c>
      <c r="S4" s="139"/>
      <c r="T4" s="10">
        <v>2550</v>
      </c>
      <c r="U4" s="10">
        <v>3</v>
      </c>
      <c r="V4" s="139"/>
      <c r="W4" s="10">
        <v>2540</v>
      </c>
      <c r="X4" s="10">
        <v>3</v>
      </c>
      <c r="Y4" s="139"/>
      <c r="Z4" s="10">
        <v>2555</v>
      </c>
      <c r="AA4" s="10">
        <v>3</v>
      </c>
      <c r="AB4" s="139"/>
      <c r="AC4" s="10">
        <v>2575</v>
      </c>
      <c r="AD4" s="10">
        <v>3</v>
      </c>
      <c r="AE4" s="139"/>
      <c r="AF4" s="10">
        <v>2630</v>
      </c>
      <c r="AG4" s="10">
        <v>3</v>
      </c>
      <c r="AH4" s="139"/>
      <c r="AI4" s="9" t="s">
        <v>327</v>
      </c>
      <c r="AJ4" s="35" t="s">
        <v>418</v>
      </c>
    </row>
    <row r="5" spans="1:36" x14ac:dyDescent="0.35">
      <c r="A5" s="158"/>
      <c r="B5" s="157"/>
      <c r="C5" s="4" t="s">
        <v>329</v>
      </c>
      <c r="D5" s="4" t="s">
        <v>1</v>
      </c>
      <c r="E5" s="4">
        <v>5340</v>
      </c>
      <c r="F5" s="4">
        <v>3</v>
      </c>
      <c r="G5" s="154"/>
      <c r="H5" s="10">
        <v>5305</v>
      </c>
      <c r="I5" s="10">
        <v>3</v>
      </c>
      <c r="J5" s="141"/>
      <c r="K5" s="10">
        <v>5470</v>
      </c>
      <c r="L5" s="10">
        <v>1</v>
      </c>
      <c r="M5" s="141"/>
      <c r="N5" s="10">
        <v>5368</v>
      </c>
      <c r="O5" s="10">
        <v>3</v>
      </c>
      <c r="P5" s="141"/>
      <c r="Q5" s="10">
        <v>5435</v>
      </c>
      <c r="R5" s="10">
        <v>3</v>
      </c>
      <c r="S5" s="141"/>
      <c r="T5" s="10">
        <v>5520</v>
      </c>
      <c r="U5" s="10">
        <v>1</v>
      </c>
      <c r="V5" s="141"/>
      <c r="W5" s="10">
        <v>5198</v>
      </c>
      <c r="X5" s="10">
        <v>5</v>
      </c>
      <c r="Y5" s="141"/>
      <c r="Z5" s="10">
        <v>5510</v>
      </c>
      <c r="AA5" s="10">
        <v>1</v>
      </c>
      <c r="AB5" s="141"/>
      <c r="AC5" s="10">
        <v>5445</v>
      </c>
      <c r="AD5" s="10">
        <v>3</v>
      </c>
      <c r="AE5" s="141"/>
      <c r="AF5" s="10">
        <v>5390</v>
      </c>
      <c r="AG5" s="10">
        <v>3</v>
      </c>
      <c r="AH5" s="141"/>
      <c r="AI5" s="9" t="s">
        <v>330</v>
      </c>
      <c r="AJ5" s="35" t="s">
        <v>419</v>
      </c>
    </row>
    <row r="6" spans="1:36" x14ac:dyDescent="0.35">
      <c r="A6" s="158"/>
      <c r="B6" s="157" t="s">
        <v>324</v>
      </c>
      <c r="C6" s="4" t="s">
        <v>332</v>
      </c>
      <c r="D6" s="4" t="s">
        <v>1</v>
      </c>
      <c r="E6" s="4">
        <v>1560</v>
      </c>
      <c r="F6" s="4">
        <v>3</v>
      </c>
      <c r="G6" s="152">
        <v>3</v>
      </c>
      <c r="H6" s="10">
        <v>1580</v>
      </c>
      <c r="I6" s="10">
        <v>3</v>
      </c>
      <c r="J6" s="140">
        <v>3</v>
      </c>
      <c r="K6" s="10">
        <v>1600</v>
      </c>
      <c r="L6" s="10">
        <v>3</v>
      </c>
      <c r="M6" s="140">
        <v>3</v>
      </c>
      <c r="N6" s="10">
        <v>1560</v>
      </c>
      <c r="O6" s="10">
        <v>3</v>
      </c>
      <c r="P6" s="140">
        <v>3</v>
      </c>
      <c r="Q6" s="10">
        <v>1560</v>
      </c>
      <c r="R6" s="10">
        <v>3</v>
      </c>
      <c r="S6" s="140">
        <v>3</v>
      </c>
      <c r="T6" s="10">
        <v>1560</v>
      </c>
      <c r="U6" s="10">
        <v>3</v>
      </c>
      <c r="V6" s="140">
        <v>3</v>
      </c>
      <c r="W6" s="10">
        <v>1600</v>
      </c>
      <c r="X6" s="10">
        <v>3</v>
      </c>
      <c r="Y6" s="140">
        <v>3</v>
      </c>
      <c r="Z6" s="10">
        <v>1600</v>
      </c>
      <c r="AA6" s="10">
        <v>3</v>
      </c>
      <c r="AB6" s="140">
        <v>3</v>
      </c>
      <c r="AC6" s="10">
        <v>1580</v>
      </c>
      <c r="AD6" s="10">
        <v>3</v>
      </c>
      <c r="AE6" s="140">
        <v>3</v>
      </c>
      <c r="AF6" s="10">
        <v>1560</v>
      </c>
      <c r="AG6" s="10">
        <v>3</v>
      </c>
      <c r="AH6" s="140">
        <v>3</v>
      </c>
      <c r="AI6" s="9" t="s">
        <v>333</v>
      </c>
      <c r="AJ6" s="35" t="s">
        <v>334</v>
      </c>
    </row>
    <row r="7" spans="1:36" x14ac:dyDescent="0.35">
      <c r="A7" s="158"/>
      <c r="B7" s="157"/>
      <c r="C7" s="4" t="s">
        <v>335</v>
      </c>
      <c r="D7" s="4" t="s">
        <v>1</v>
      </c>
      <c r="E7" s="4">
        <v>1990</v>
      </c>
      <c r="F7" s="4">
        <v>3</v>
      </c>
      <c r="G7" s="153"/>
      <c r="H7" s="10" t="s">
        <v>2</v>
      </c>
      <c r="I7" s="10"/>
      <c r="J7" s="139"/>
      <c r="K7" s="10">
        <v>2000</v>
      </c>
      <c r="L7" s="10">
        <v>3</v>
      </c>
      <c r="M7" s="139"/>
      <c r="N7" s="10" t="s">
        <v>2</v>
      </c>
      <c r="O7" s="10"/>
      <c r="P7" s="139"/>
      <c r="Q7" s="10">
        <v>1990</v>
      </c>
      <c r="R7" s="10">
        <v>3</v>
      </c>
      <c r="S7" s="139"/>
      <c r="T7" s="10">
        <v>1990</v>
      </c>
      <c r="U7" s="10">
        <v>3</v>
      </c>
      <c r="V7" s="139"/>
      <c r="W7" s="10">
        <v>2000</v>
      </c>
      <c r="X7" s="10">
        <v>3</v>
      </c>
      <c r="Y7" s="139"/>
      <c r="Z7" s="10">
        <v>2000</v>
      </c>
      <c r="AA7" s="10">
        <v>3</v>
      </c>
      <c r="AB7" s="139"/>
      <c r="AC7" s="10">
        <v>1990</v>
      </c>
      <c r="AD7" s="10">
        <v>3</v>
      </c>
      <c r="AE7" s="139"/>
      <c r="AF7" s="10">
        <v>1990</v>
      </c>
      <c r="AG7" s="10">
        <v>3</v>
      </c>
      <c r="AH7" s="139"/>
      <c r="AI7" s="9" t="s">
        <v>336</v>
      </c>
      <c r="AJ7" s="35" t="s">
        <v>420</v>
      </c>
    </row>
    <row r="8" spans="1:36" x14ac:dyDescent="0.35">
      <c r="A8" s="158"/>
      <c r="B8" s="157"/>
      <c r="C8" s="4" t="s">
        <v>338</v>
      </c>
      <c r="D8" s="4" t="s">
        <v>1</v>
      </c>
      <c r="E8" s="4">
        <v>2490</v>
      </c>
      <c r="F8" s="4">
        <v>3</v>
      </c>
      <c r="G8" s="153"/>
      <c r="H8" s="10">
        <v>2580</v>
      </c>
      <c r="I8" s="10">
        <v>3</v>
      </c>
      <c r="J8" s="139"/>
      <c r="K8" s="10">
        <v>2500</v>
      </c>
      <c r="L8" s="10">
        <v>3</v>
      </c>
      <c r="M8" s="139"/>
      <c r="N8" s="10" t="s">
        <v>2</v>
      </c>
      <c r="O8" s="10"/>
      <c r="P8" s="139"/>
      <c r="Q8" s="10">
        <v>2500</v>
      </c>
      <c r="R8" s="10">
        <v>3</v>
      </c>
      <c r="S8" s="139"/>
      <c r="T8" s="10">
        <v>2500</v>
      </c>
      <c r="U8" s="10">
        <v>3</v>
      </c>
      <c r="V8" s="139"/>
      <c r="W8" s="10">
        <v>2521</v>
      </c>
      <c r="X8" s="10">
        <v>3</v>
      </c>
      <c r="Y8" s="139"/>
      <c r="Z8" s="10">
        <v>2515</v>
      </c>
      <c r="AA8" s="10">
        <v>3</v>
      </c>
      <c r="AB8" s="139"/>
      <c r="AC8" s="10">
        <v>2497</v>
      </c>
      <c r="AD8" s="10">
        <v>3</v>
      </c>
      <c r="AE8" s="139"/>
      <c r="AF8" s="10">
        <v>2510</v>
      </c>
      <c r="AG8" s="10">
        <v>3</v>
      </c>
      <c r="AH8" s="139"/>
      <c r="AI8" s="9" t="s">
        <v>339</v>
      </c>
      <c r="AJ8" s="35" t="s">
        <v>421</v>
      </c>
    </row>
    <row r="9" spans="1:36" x14ac:dyDescent="0.35">
      <c r="A9" s="158"/>
      <c r="B9" s="157"/>
      <c r="C9" s="4" t="s">
        <v>341</v>
      </c>
      <c r="D9" s="4" t="s">
        <v>1</v>
      </c>
      <c r="E9" s="4">
        <v>400</v>
      </c>
      <c r="F9" s="4">
        <v>3</v>
      </c>
      <c r="G9" s="154"/>
      <c r="H9" s="10">
        <v>400</v>
      </c>
      <c r="I9" s="10">
        <v>3</v>
      </c>
      <c r="J9" s="141"/>
      <c r="K9" s="10">
        <v>400</v>
      </c>
      <c r="L9" s="10">
        <v>3</v>
      </c>
      <c r="M9" s="141"/>
      <c r="N9" s="10">
        <v>400</v>
      </c>
      <c r="O9" s="10">
        <v>3</v>
      </c>
      <c r="P9" s="141"/>
      <c r="Q9" s="10">
        <v>400</v>
      </c>
      <c r="R9" s="10">
        <v>3</v>
      </c>
      <c r="S9" s="141"/>
      <c r="T9" s="10">
        <v>400</v>
      </c>
      <c r="U9" s="10">
        <v>3</v>
      </c>
      <c r="V9" s="141"/>
      <c r="W9" s="10">
        <v>400</v>
      </c>
      <c r="X9" s="10">
        <v>3</v>
      </c>
      <c r="Y9" s="141"/>
      <c r="Z9" s="10">
        <v>400</v>
      </c>
      <c r="AA9" s="10">
        <v>3</v>
      </c>
      <c r="AB9" s="141"/>
      <c r="AC9" s="10">
        <v>400</v>
      </c>
      <c r="AD9" s="10">
        <v>3</v>
      </c>
      <c r="AE9" s="141"/>
      <c r="AF9" s="10">
        <v>400</v>
      </c>
      <c r="AG9" s="10">
        <v>3</v>
      </c>
      <c r="AH9" s="141"/>
      <c r="AI9" s="9" t="s">
        <v>342</v>
      </c>
      <c r="AJ9" s="35" t="s">
        <v>422</v>
      </c>
    </row>
    <row r="10" spans="1:36" x14ac:dyDescent="0.35">
      <c r="A10" s="158"/>
      <c r="B10" s="157" t="s">
        <v>327</v>
      </c>
      <c r="C10" s="4" t="s">
        <v>344</v>
      </c>
      <c r="D10" s="4" t="s">
        <v>1</v>
      </c>
      <c r="E10" s="4">
        <v>5650</v>
      </c>
      <c r="F10" s="4">
        <v>3</v>
      </c>
      <c r="G10" s="152">
        <v>3</v>
      </c>
      <c r="H10" s="10">
        <v>5215</v>
      </c>
      <c r="I10" s="10">
        <v>1</v>
      </c>
      <c r="J10" s="140">
        <v>1.7</v>
      </c>
      <c r="K10" s="10">
        <v>5750</v>
      </c>
      <c r="L10" s="10">
        <v>5</v>
      </c>
      <c r="M10" s="140">
        <v>3.4</v>
      </c>
      <c r="N10" s="10" t="s">
        <v>2</v>
      </c>
      <c r="O10" s="10"/>
      <c r="P10" s="140">
        <v>2.2999999999999998</v>
      </c>
      <c r="Q10" s="10">
        <v>5635</v>
      </c>
      <c r="R10" s="10">
        <v>3</v>
      </c>
      <c r="S10" s="140">
        <v>3</v>
      </c>
      <c r="T10" s="10">
        <v>5785</v>
      </c>
      <c r="U10" s="10">
        <v>5</v>
      </c>
      <c r="V10" s="140">
        <v>4.7</v>
      </c>
      <c r="W10" s="10">
        <v>5369</v>
      </c>
      <c r="X10" s="10">
        <v>1</v>
      </c>
      <c r="Y10" s="140">
        <v>2</v>
      </c>
      <c r="Z10" s="10">
        <v>5740</v>
      </c>
      <c r="AA10" s="10">
        <v>5</v>
      </c>
      <c r="AB10" s="140">
        <v>4</v>
      </c>
      <c r="AC10" s="10">
        <v>5585</v>
      </c>
      <c r="AD10" s="10">
        <v>3</v>
      </c>
      <c r="AE10" s="140">
        <v>2.7</v>
      </c>
      <c r="AF10" s="10">
        <v>5450</v>
      </c>
      <c r="AG10" s="10">
        <v>1</v>
      </c>
      <c r="AH10" s="140">
        <v>1.8</v>
      </c>
      <c r="AI10" s="9" t="s">
        <v>345</v>
      </c>
      <c r="AJ10" s="35" t="s">
        <v>423</v>
      </c>
    </row>
    <row r="11" spans="1:36" x14ac:dyDescent="0.35">
      <c r="A11" s="158"/>
      <c r="B11" s="157"/>
      <c r="C11" s="4" t="s">
        <v>347</v>
      </c>
      <c r="D11" s="4" t="s">
        <v>1</v>
      </c>
      <c r="E11" s="4">
        <v>4010</v>
      </c>
      <c r="F11" s="4">
        <v>3</v>
      </c>
      <c r="G11" s="153"/>
      <c r="H11" s="10">
        <v>3700</v>
      </c>
      <c r="I11" s="10">
        <v>1</v>
      </c>
      <c r="J11" s="139"/>
      <c r="K11" s="10">
        <v>4070</v>
      </c>
      <c r="L11" s="10">
        <v>5</v>
      </c>
      <c r="M11" s="139"/>
      <c r="N11" s="10">
        <v>3975</v>
      </c>
      <c r="O11" s="10">
        <v>3</v>
      </c>
      <c r="P11" s="139"/>
      <c r="Q11" s="10">
        <v>4000</v>
      </c>
      <c r="R11" s="10">
        <v>3</v>
      </c>
      <c r="S11" s="139"/>
      <c r="T11" s="10">
        <v>4155</v>
      </c>
      <c r="U11" s="10">
        <v>5</v>
      </c>
      <c r="V11" s="139"/>
      <c r="W11" s="10">
        <v>3787</v>
      </c>
      <c r="X11" s="10">
        <v>1</v>
      </c>
      <c r="Y11" s="139"/>
      <c r="Z11" s="10">
        <v>4035</v>
      </c>
      <c r="AA11" s="10">
        <v>3</v>
      </c>
      <c r="AB11" s="139"/>
      <c r="AC11" s="10">
        <v>3835</v>
      </c>
      <c r="AD11" s="10">
        <v>1</v>
      </c>
      <c r="AE11" s="139"/>
      <c r="AF11" s="10">
        <v>3805</v>
      </c>
      <c r="AG11" s="10">
        <v>1</v>
      </c>
      <c r="AH11" s="139"/>
      <c r="AJ11" s="42" t="s">
        <v>424</v>
      </c>
    </row>
    <row r="12" spans="1:36" x14ac:dyDescent="0.35">
      <c r="A12" s="158"/>
      <c r="B12" s="157"/>
      <c r="C12" s="4" t="s">
        <v>349</v>
      </c>
      <c r="D12" s="4" t="s">
        <v>1</v>
      </c>
      <c r="E12" s="4">
        <v>3640</v>
      </c>
      <c r="F12" s="4">
        <v>3</v>
      </c>
      <c r="G12" s="153"/>
      <c r="H12" s="10">
        <v>3420</v>
      </c>
      <c r="I12" s="10">
        <v>1</v>
      </c>
      <c r="J12" s="139"/>
      <c r="K12" s="10">
        <v>3530</v>
      </c>
      <c r="L12" s="10">
        <v>1</v>
      </c>
      <c r="M12" s="139"/>
      <c r="N12" s="10">
        <v>3478</v>
      </c>
      <c r="O12" s="10">
        <v>1</v>
      </c>
      <c r="P12" s="139"/>
      <c r="Q12" s="10">
        <v>3630</v>
      </c>
      <c r="R12" s="10">
        <v>3</v>
      </c>
      <c r="S12" s="139"/>
      <c r="T12" s="10">
        <v>3875</v>
      </c>
      <c r="U12" s="10">
        <v>5</v>
      </c>
      <c r="V12" s="139"/>
      <c r="W12" s="10">
        <v>3716</v>
      </c>
      <c r="X12" s="10">
        <v>5</v>
      </c>
      <c r="Y12" s="139"/>
      <c r="Z12" s="10">
        <v>3750</v>
      </c>
      <c r="AA12" s="10">
        <v>5</v>
      </c>
      <c r="AB12" s="139"/>
      <c r="AC12" s="10">
        <v>3630</v>
      </c>
      <c r="AD12" s="10">
        <v>3</v>
      </c>
      <c r="AE12" s="139"/>
      <c r="AF12" s="10">
        <v>3420</v>
      </c>
      <c r="AG12" s="10">
        <v>1</v>
      </c>
      <c r="AH12" s="139"/>
      <c r="AI12" s="9" t="s">
        <v>350</v>
      </c>
      <c r="AJ12" s="35" t="s">
        <v>425</v>
      </c>
    </row>
    <row r="13" spans="1:36" x14ac:dyDescent="0.35">
      <c r="A13" s="158"/>
      <c r="B13" s="157"/>
      <c r="C13" s="4" t="s">
        <v>352</v>
      </c>
      <c r="D13" s="4" t="s">
        <v>1</v>
      </c>
      <c r="E13" s="4">
        <v>6110</v>
      </c>
      <c r="F13" s="4">
        <v>3</v>
      </c>
      <c r="G13" s="153"/>
      <c r="H13" s="10">
        <v>5755</v>
      </c>
      <c r="I13" s="10">
        <v>1</v>
      </c>
      <c r="J13" s="139"/>
      <c r="K13" s="10">
        <v>5960</v>
      </c>
      <c r="L13" s="10">
        <v>1</v>
      </c>
      <c r="M13" s="139"/>
      <c r="N13" s="10" t="s">
        <v>2</v>
      </c>
      <c r="O13" s="10"/>
      <c r="P13" s="139"/>
      <c r="Q13" s="10">
        <v>6105</v>
      </c>
      <c r="R13" s="10">
        <v>3</v>
      </c>
      <c r="S13" s="139"/>
      <c r="T13" s="10">
        <v>6260</v>
      </c>
      <c r="U13" s="10">
        <v>5</v>
      </c>
      <c r="V13" s="139"/>
      <c r="W13" s="10">
        <v>5879</v>
      </c>
      <c r="X13" s="10">
        <v>1</v>
      </c>
      <c r="Y13" s="139"/>
      <c r="Z13" s="10">
        <v>6230</v>
      </c>
      <c r="AA13" s="10">
        <v>5</v>
      </c>
      <c r="AB13" s="139"/>
      <c r="AC13" s="10">
        <v>6080</v>
      </c>
      <c r="AD13" s="10">
        <v>3</v>
      </c>
      <c r="AE13" s="139"/>
      <c r="AF13" s="10" t="s">
        <v>2</v>
      </c>
      <c r="AG13" s="10"/>
      <c r="AH13" s="139"/>
      <c r="AI13" s="9" t="s">
        <v>333</v>
      </c>
      <c r="AJ13" s="35" t="s">
        <v>426</v>
      </c>
    </row>
    <row r="14" spans="1:36" x14ac:dyDescent="0.35">
      <c r="A14" s="158"/>
      <c r="B14" s="157"/>
      <c r="C14" s="4" t="s">
        <v>354</v>
      </c>
      <c r="D14" s="4" t="s">
        <v>1</v>
      </c>
      <c r="E14" s="4">
        <v>5960</v>
      </c>
      <c r="F14" s="4">
        <v>3</v>
      </c>
      <c r="G14" s="153"/>
      <c r="H14" s="10">
        <v>5590</v>
      </c>
      <c r="I14" s="10">
        <v>1</v>
      </c>
      <c r="J14" s="139"/>
      <c r="K14" s="10" t="s">
        <v>2</v>
      </c>
      <c r="L14" s="10"/>
      <c r="M14" s="139"/>
      <c r="N14" s="10">
        <v>5889</v>
      </c>
      <c r="O14" s="10">
        <v>3</v>
      </c>
      <c r="P14" s="139"/>
      <c r="Q14" s="10">
        <v>5965</v>
      </c>
      <c r="R14" s="10">
        <v>3</v>
      </c>
      <c r="S14" s="139"/>
      <c r="T14" s="10">
        <v>6125</v>
      </c>
      <c r="U14" s="10">
        <v>5</v>
      </c>
      <c r="V14" s="139"/>
      <c r="W14" s="10">
        <v>5748</v>
      </c>
      <c r="X14" s="10">
        <v>1</v>
      </c>
      <c r="Y14" s="139"/>
      <c r="Z14" s="10">
        <v>6100</v>
      </c>
      <c r="AA14" s="10">
        <v>5</v>
      </c>
      <c r="AB14" s="139"/>
      <c r="AC14" s="10">
        <v>5950</v>
      </c>
      <c r="AD14" s="10">
        <v>3</v>
      </c>
      <c r="AE14" s="139"/>
      <c r="AF14" s="10">
        <v>5880</v>
      </c>
      <c r="AG14" s="10">
        <v>3</v>
      </c>
      <c r="AH14" s="139"/>
      <c r="AI14" s="9" t="s">
        <v>355</v>
      </c>
      <c r="AJ14" s="35" t="s">
        <v>427</v>
      </c>
    </row>
    <row r="15" spans="1:36" ht="49.5" x14ac:dyDescent="0.35">
      <c r="A15" s="158"/>
      <c r="B15" s="157"/>
      <c r="C15" s="4" t="s">
        <v>357</v>
      </c>
      <c r="D15" s="4" t="s">
        <v>1</v>
      </c>
      <c r="E15" s="4">
        <v>1040</v>
      </c>
      <c r="F15" s="4">
        <v>3</v>
      </c>
      <c r="G15" s="154"/>
      <c r="H15" s="13" t="s">
        <v>446</v>
      </c>
      <c r="I15" s="12">
        <v>5</v>
      </c>
      <c r="J15" s="141"/>
      <c r="K15" s="13" t="s">
        <v>447</v>
      </c>
      <c r="L15" s="12">
        <v>5</v>
      </c>
      <c r="M15" s="141"/>
      <c r="N15" s="7" t="s">
        <v>2</v>
      </c>
      <c r="O15" s="7"/>
      <c r="P15" s="141"/>
      <c r="Q15" s="7">
        <v>1065</v>
      </c>
      <c r="R15" s="7">
        <v>3</v>
      </c>
      <c r="S15" s="141"/>
      <c r="T15" s="7">
        <v>1270</v>
      </c>
      <c r="U15" s="7">
        <v>3</v>
      </c>
      <c r="V15" s="141"/>
      <c r="W15" s="12" t="s">
        <v>448</v>
      </c>
      <c r="X15" s="12">
        <v>3</v>
      </c>
      <c r="Y15" s="141"/>
      <c r="Z15" s="12">
        <v>1175</v>
      </c>
      <c r="AA15" s="12">
        <v>1</v>
      </c>
      <c r="AB15" s="141"/>
      <c r="AC15" s="12">
        <v>1050</v>
      </c>
      <c r="AD15" s="12">
        <v>3</v>
      </c>
      <c r="AE15" s="141"/>
      <c r="AF15" s="7">
        <v>980</v>
      </c>
      <c r="AG15" s="7">
        <v>3</v>
      </c>
      <c r="AH15" s="141"/>
      <c r="AI15" s="14" t="s">
        <v>358</v>
      </c>
      <c r="AJ15" s="36" t="s">
        <v>428</v>
      </c>
    </row>
    <row r="16" spans="1:36" ht="14.25" customHeight="1" x14ac:dyDescent="0.35">
      <c r="A16" s="158"/>
      <c r="B16" s="152" t="s">
        <v>330</v>
      </c>
      <c r="C16" s="4" t="s">
        <v>360</v>
      </c>
      <c r="D16" s="4" t="s">
        <v>3</v>
      </c>
      <c r="E16" s="4">
        <v>30.7</v>
      </c>
      <c r="F16" s="4">
        <v>1</v>
      </c>
      <c r="G16" s="152">
        <v>1</v>
      </c>
      <c r="H16" s="13">
        <v>36.1</v>
      </c>
      <c r="I16" s="13">
        <v>5</v>
      </c>
      <c r="J16" s="155">
        <v>4</v>
      </c>
      <c r="K16" s="7" t="s">
        <v>2</v>
      </c>
      <c r="L16" s="7"/>
      <c r="M16" s="140">
        <v>1</v>
      </c>
      <c r="N16" s="7">
        <v>36.5</v>
      </c>
      <c r="O16" s="7">
        <v>5</v>
      </c>
      <c r="P16" s="140">
        <v>5</v>
      </c>
      <c r="Q16" s="7">
        <v>35.5</v>
      </c>
      <c r="R16" s="7">
        <v>3</v>
      </c>
      <c r="S16" s="140">
        <v>4</v>
      </c>
      <c r="T16" s="7">
        <v>35.5</v>
      </c>
      <c r="U16" s="7">
        <v>3</v>
      </c>
      <c r="V16" s="140">
        <v>4</v>
      </c>
      <c r="W16" s="7">
        <v>31.2</v>
      </c>
      <c r="X16" s="7">
        <v>1</v>
      </c>
      <c r="Y16" s="140">
        <v>1</v>
      </c>
      <c r="Z16" s="10">
        <v>35.5</v>
      </c>
      <c r="AA16" s="10">
        <v>3</v>
      </c>
      <c r="AB16" s="140">
        <v>3</v>
      </c>
      <c r="AC16" s="10">
        <v>36.4</v>
      </c>
      <c r="AD16" s="10">
        <v>5</v>
      </c>
      <c r="AE16" s="140">
        <v>5</v>
      </c>
      <c r="AF16" s="10">
        <v>29.1</v>
      </c>
      <c r="AG16" s="10">
        <v>1</v>
      </c>
      <c r="AH16" s="140">
        <v>1</v>
      </c>
      <c r="AI16" s="9" t="s">
        <v>361</v>
      </c>
      <c r="AJ16" s="35" t="s">
        <v>429</v>
      </c>
    </row>
    <row r="17" spans="1:46" x14ac:dyDescent="0.35">
      <c r="A17" s="158"/>
      <c r="B17" s="154"/>
      <c r="C17" s="4" t="s">
        <v>363</v>
      </c>
      <c r="D17" s="4" t="s">
        <v>3</v>
      </c>
      <c r="E17" s="7" t="s">
        <v>2</v>
      </c>
      <c r="F17" s="7"/>
      <c r="G17" s="154"/>
      <c r="H17" s="10">
        <v>33.6</v>
      </c>
      <c r="I17" s="10">
        <v>3</v>
      </c>
      <c r="J17" s="151"/>
      <c r="K17" s="10">
        <v>26.8</v>
      </c>
      <c r="L17" s="10">
        <v>1</v>
      </c>
      <c r="M17" s="141"/>
      <c r="N17" s="7" t="s">
        <v>2</v>
      </c>
      <c r="O17" s="7"/>
      <c r="P17" s="141"/>
      <c r="Q17" s="10">
        <v>34.6</v>
      </c>
      <c r="R17" s="10">
        <v>5</v>
      </c>
      <c r="S17" s="141"/>
      <c r="T17" s="10">
        <v>34.6</v>
      </c>
      <c r="U17" s="10">
        <v>5</v>
      </c>
      <c r="V17" s="141"/>
      <c r="W17" s="7" t="s">
        <v>2</v>
      </c>
      <c r="X17" s="7"/>
      <c r="Y17" s="141"/>
      <c r="Z17" s="10">
        <v>33.6</v>
      </c>
      <c r="AA17" s="10">
        <v>3</v>
      </c>
      <c r="AB17" s="141"/>
      <c r="AC17" s="10">
        <v>35.1</v>
      </c>
      <c r="AD17" s="10">
        <v>5</v>
      </c>
      <c r="AE17" s="141"/>
      <c r="AF17" s="10">
        <v>27.7</v>
      </c>
      <c r="AG17" s="10">
        <v>1</v>
      </c>
      <c r="AH17" s="141"/>
    </row>
    <row r="18" spans="1:46" x14ac:dyDescent="0.35">
      <c r="A18" s="158"/>
      <c r="B18" s="157" t="s">
        <v>364</v>
      </c>
      <c r="C18" s="4" t="s">
        <v>365</v>
      </c>
      <c r="D18" s="4" t="s">
        <v>1</v>
      </c>
      <c r="E18" s="4">
        <v>1570</v>
      </c>
      <c r="F18" s="4"/>
      <c r="G18" s="4"/>
      <c r="H18" s="10">
        <v>1351</v>
      </c>
      <c r="I18" s="10"/>
      <c r="J18" s="10"/>
      <c r="K18" s="10">
        <v>1380</v>
      </c>
      <c r="L18" s="10"/>
      <c r="M18" s="55"/>
      <c r="N18" s="7" t="s">
        <v>2</v>
      </c>
      <c r="O18" s="7"/>
      <c r="P18" s="7"/>
      <c r="Q18" s="7" t="s">
        <v>2</v>
      </c>
      <c r="R18" s="7"/>
      <c r="S18" s="7"/>
      <c r="T18" s="7" t="s">
        <v>2</v>
      </c>
      <c r="U18" s="7"/>
      <c r="V18" s="7"/>
      <c r="W18" s="10">
        <v>1400</v>
      </c>
      <c r="X18" s="10"/>
      <c r="Y18" s="10"/>
      <c r="Z18" s="10">
        <v>1650</v>
      </c>
      <c r="AA18" s="10"/>
      <c r="AB18" s="10"/>
      <c r="AC18" s="10">
        <v>1600</v>
      </c>
      <c r="AD18" s="10"/>
      <c r="AE18" s="10"/>
      <c r="AF18" s="10">
        <v>1500</v>
      </c>
      <c r="AG18" s="10"/>
      <c r="AH18" s="142"/>
    </row>
    <row r="19" spans="1:46" x14ac:dyDescent="0.35">
      <c r="A19" s="158"/>
      <c r="B19" s="157"/>
      <c r="C19" s="4" t="s">
        <v>366</v>
      </c>
      <c r="D19" s="4" t="s">
        <v>1</v>
      </c>
      <c r="E19" s="4">
        <v>2850</v>
      </c>
      <c r="F19" s="4"/>
      <c r="G19" s="4"/>
      <c r="H19" s="10">
        <v>2716</v>
      </c>
      <c r="I19" s="10"/>
      <c r="J19" s="10"/>
      <c r="K19" s="7" t="s">
        <v>2</v>
      </c>
      <c r="L19" s="7"/>
      <c r="M19" s="55"/>
      <c r="N19" s="7" t="s">
        <v>2</v>
      </c>
      <c r="O19" s="7"/>
      <c r="P19" s="7"/>
      <c r="Q19" s="7" t="s">
        <v>2</v>
      </c>
      <c r="R19" s="7"/>
      <c r="S19" s="7"/>
      <c r="T19" s="7" t="s">
        <v>2</v>
      </c>
      <c r="U19" s="7"/>
      <c r="V19" s="7"/>
      <c r="W19" s="7">
        <v>2750</v>
      </c>
      <c r="X19" s="7"/>
      <c r="Y19" s="7"/>
      <c r="Z19" s="10">
        <v>2800</v>
      </c>
      <c r="AA19" s="10"/>
      <c r="AB19" s="10"/>
      <c r="AC19" s="10">
        <v>2700</v>
      </c>
      <c r="AD19" s="10"/>
      <c r="AE19" s="10"/>
      <c r="AF19" s="10">
        <v>2700</v>
      </c>
      <c r="AG19" s="10"/>
      <c r="AH19" s="143"/>
    </row>
    <row r="20" spans="1:46" ht="17.25" thickBot="1" x14ac:dyDescent="0.4">
      <c r="A20" s="158"/>
      <c r="B20" s="157"/>
      <c r="C20" s="4" t="s">
        <v>430</v>
      </c>
      <c r="D20" s="4" t="s">
        <v>1</v>
      </c>
      <c r="E20" s="7">
        <v>1900</v>
      </c>
      <c r="F20" s="7"/>
      <c r="G20" s="7"/>
      <c r="H20" s="10">
        <v>1601</v>
      </c>
      <c r="I20" s="10"/>
      <c r="J20" s="10"/>
      <c r="K20" s="10">
        <v>1690</v>
      </c>
      <c r="L20" s="10"/>
      <c r="M20" s="55"/>
      <c r="N20" s="7" t="s">
        <v>2</v>
      </c>
      <c r="O20" s="7"/>
      <c r="P20" s="7"/>
      <c r="Q20" s="7" t="s">
        <v>2</v>
      </c>
      <c r="R20" s="7"/>
      <c r="S20" s="7"/>
      <c r="T20" s="7" t="s">
        <v>2</v>
      </c>
      <c r="U20" s="7"/>
      <c r="V20" s="7"/>
      <c r="W20" s="10">
        <v>1800</v>
      </c>
      <c r="X20" s="10"/>
      <c r="Y20" s="10"/>
      <c r="Z20" s="10">
        <v>1400</v>
      </c>
      <c r="AA20" s="10"/>
      <c r="AB20" s="10"/>
      <c r="AC20" s="10">
        <v>1900</v>
      </c>
      <c r="AD20" s="10"/>
      <c r="AE20" s="10"/>
      <c r="AF20" s="7" t="s">
        <v>2</v>
      </c>
      <c r="AG20" s="10"/>
      <c r="AH20" s="144"/>
    </row>
    <row r="21" spans="1:46" ht="33" x14ac:dyDescent="0.35">
      <c r="A21" s="158"/>
      <c r="B21" s="157" t="s">
        <v>333</v>
      </c>
      <c r="C21" s="4" t="s">
        <v>333</v>
      </c>
      <c r="D21" s="4" t="s">
        <v>367</v>
      </c>
      <c r="E21" s="4" t="s">
        <v>368</v>
      </c>
      <c r="F21" s="4">
        <v>3</v>
      </c>
      <c r="G21" s="152">
        <v>3.7</v>
      </c>
      <c r="H21" s="7" t="s">
        <v>368</v>
      </c>
      <c r="I21" s="7">
        <v>3</v>
      </c>
      <c r="J21" s="140">
        <v>2.8</v>
      </c>
      <c r="K21" s="7" t="s">
        <v>370</v>
      </c>
      <c r="L21" s="7">
        <v>3</v>
      </c>
      <c r="M21" s="140">
        <v>2.2999999999999998</v>
      </c>
      <c r="N21" s="7" t="s">
        <v>2</v>
      </c>
      <c r="O21" s="7"/>
      <c r="P21" s="140">
        <v>1</v>
      </c>
      <c r="Q21" s="7" t="s">
        <v>369</v>
      </c>
      <c r="R21" s="7">
        <v>3</v>
      </c>
      <c r="S21" s="140">
        <v>3</v>
      </c>
      <c r="T21" s="7" t="s">
        <v>369</v>
      </c>
      <c r="U21" s="7">
        <v>3</v>
      </c>
      <c r="V21" s="140">
        <v>3</v>
      </c>
      <c r="W21" s="7" t="s">
        <v>370</v>
      </c>
      <c r="X21" s="7">
        <v>3</v>
      </c>
      <c r="Y21" s="140">
        <v>1.8</v>
      </c>
      <c r="Z21" s="7" t="s">
        <v>368</v>
      </c>
      <c r="AA21" s="34">
        <v>3</v>
      </c>
      <c r="AB21" s="149">
        <v>3.4</v>
      </c>
      <c r="AC21" s="41" t="s">
        <v>368</v>
      </c>
      <c r="AD21" s="41">
        <v>3</v>
      </c>
      <c r="AE21" s="140">
        <v>3</v>
      </c>
      <c r="AF21" s="7" t="s">
        <v>368</v>
      </c>
      <c r="AG21" s="7">
        <v>3</v>
      </c>
      <c r="AH21" s="140">
        <v>2.1</v>
      </c>
      <c r="AJ21" s="44"/>
      <c r="AK21" s="45" t="s">
        <v>63</v>
      </c>
      <c r="AL21" s="45" t="s">
        <v>64</v>
      </c>
      <c r="AM21" s="45" t="s">
        <v>65</v>
      </c>
      <c r="AN21" s="45" t="s">
        <v>66</v>
      </c>
      <c r="AO21" s="45" t="s">
        <v>67</v>
      </c>
      <c r="AP21" s="45" t="s">
        <v>68</v>
      </c>
      <c r="AQ21" s="45" t="s">
        <v>69</v>
      </c>
      <c r="AR21" s="45" t="s">
        <v>70</v>
      </c>
      <c r="AS21" s="45" t="s">
        <v>71</v>
      </c>
      <c r="AT21" s="46" t="s">
        <v>72</v>
      </c>
    </row>
    <row r="22" spans="1:46" x14ac:dyDescent="0.35">
      <c r="A22" s="158"/>
      <c r="B22" s="157"/>
      <c r="C22" s="4" t="s">
        <v>371</v>
      </c>
      <c r="D22" s="4" t="s">
        <v>15</v>
      </c>
      <c r="E22" s="4">
        <v>158.4</v>
      </c>
      <c r="F22" s="4">
        <v>5</v>
      </c>
      <c r="G22" s="153"/>
      <c r="H22" s="10">
        <v>133</v>
      </c>
      <c r="I22" s="10">
        <v>3</v>
      </c>
      <c r="J22" s="139"/>
      <c r="K22" s="10">
        <v>120</v>
      </c>
      <c r="L22" s="10">
        <v>1</v>
      </c>
      <c r="M22" s="139"/>
      <c r="N22" s="7" t="s">
        <v>2</v>
      </c>
      <c r="O22" s="7"/>
      <c r="P22" s="139"/>
      <c r="Q22" s="10" t="s">
        <v>73</v>
      </c>
      <c r="R22" s="10">
        <v>5</v>
      </c>
      <c r="S22" s="139"/>
      <c r="T22" s="10" t="s">
        <v>74</v>
      </c>
      <c r="U22" s="10">
        <v>5</v>
      </c>
      <c r="V22" s="139"/>
      <c r="W22" s="10">
        <v>120</v>
      </c>
      <c r="X22" s="10">
        <v>1</v>
      </c>
      <c r="Y22" s="139"/>
      <c r="Z22" s="10">
        <v>138</v>
      </c>
      <c r="AA22" s="33">
        <v>3</v>
      </c>
      <c r="AB22" s="149"/>
      <c r="AC22" s="56">
        <v>139</v>
      </c>
      <c r="AD22" s="56">
        <v>3</v>
      </c>
      <c r="AE22" s="139"/>
      <c r="AF22" s="10">
        <v>110</v>
      </c>
      <c r="AG22" s="10">
        <v>1</v>
      </c>
      <c r="AH22" s="139"/>
      <c r="AJ22" s="47" t="s">
        <v>320</v>
      </c>
      <c r="AK22" s="9">
        <v>2.5</v>
      </c>
      <c r="AL22" s="9">
        <v>3.5</v>
      </c>
      <c r="AM22" s="9">
        <v>3</v>
      </c>
      <c r="AN22" s="9">
        <v>3</v>
      </c>
      <c r="AO22" s="9">
        <v>2.5</v>
      </c>
      <c r="AP22" s="9">
        <v>2</v>
      </c>
      <c r="AQ22" s="9">
        <v>4</v>
      </c>
      <c r="AR22" s="9">
        <v>2</v>
      </c>
      <c r="AS22" s="9">
        <v>2.5</v>
      </c>
      <c r="AT22" s="48">
        <v>3</v>
      </c>
    </row>
    <row r="23" spans="1:46" x14ac:dyDescent="0.35">
      <c r="A23" s="158"/>
      <c r="B23" s="157"/>
      <c r="C23" s="4" t="s">
        <v>372</v>
      </c>
      <c r="D23" s="4" t="s">
        <v>16</v>
      </c>
      <c r="E23" s="4">
        <v>32</v>
      </c>
      <c r="F23" s="4">
        <v>5</v>
      </c>
      <c r="G23" s="153"/>
      <c r="H23" s="10">
        <v>26.5</v>
      </c>
      <c r="I23" s="10">
        <v>1</v>
      </c>
      <c r="J23" s="139"/>
      <c r="K23" s="7" t="s">
        <v>2</v>
      </c>
      <c r="L23" s="7"/>
      <c r="M23" s="139"/>
      <c r="N23" s="7" t="s">
        <v>2</v>
      </c>
      <c r="O23" s="7"/>
      <c r="P23" s="139"/>
      <c r="Q23" s="7" t="s">
        <v>2</v>
      </c>
      <c r="R23" s="7"/>
      <c r="S23" s="139"/>
      <c r="T23" s="7" t="s">
        <v>2</v>
      </c>
      <c r="U23" s="7"/>
      <c r="V23" s="139"/>
      <c r="W23" s="10">
        <v>26</v>
      </c>
      <c r="X23" s="10">
        <v>1</v>
      </c>
      <c r="Y23" s="139"/>
      <c r="Z23" s="10">
        <v>25.4</v>
      </c>
      <c r="AA23" s="9">
        <v>1</v>
      </c>
      <c r="AB23" s="149"/>
      <c r="AC23" s="9">
        <v>30.1</v>
      </c>
      <c r="AD23" s="10">
        <v>3</v>
      </c>
      <c r="AE23" s="139"/>
      <c r="AF23" s="10">
        <v>24.5</v>
      </c>
      <c r="AG23" s="10">
        <v>1</v>
      </c>
      <c r="AH23" s="139"/>
      <c r="AJ23" s="47" t="s">
        <v>324</v>
      </c>
      <c r="AK23" s="9">
        <v>3</v>
      </c>
      <c r="AL23" s="9">
        <v>3</v>
      </c>
      <c r="AM23" s="9">
        <v>3</v>
      </c>
      <c r="AN23" s="9">
        <v>3</v>
      </c>
      <c r="AO23" s="9">
        <v>3</v>
      </c>
      <c r="AP23" s="9">
        <v>3</v>
      </c>
      <c r="AQ23" s="9">
        <v>3</v>
      </c>
      <c r="AR23" s="9">
        <v>3</v>
      </c>
      <c r="AS23" s="9">
        <v>3</v>
      </c>
      <c r="AT23" s="48">
        <v>3</v>
      </c>
    </row>
    <row r="24" spans="1:46" x14ac:dyDescent="0.35">
      <c r="A24" s="158"/>
      <c r="B24" s="157"/>
      <c r="C24" s="4" t="s">
        <v>373</v>
      </c>
      <c r="D24" s="4" t="s">
        <v>16</v>
      </c>
      <c r="E24" s="4">
        <v>28.4</v>
      </c>
      <c r="F24" s="4">
        <v>5</v>
      </c>
      <c r="G24" s="153"/>
      <c r="H24" s="10">
        <v>26.5</v>
      </c>
      <c r="I24" s="10">
        <v>3</v>
      </c>
      <c r="J24" s="139"/>
      <c r="K24" s="7" t="s">
        <v>2</v>
      </c>
      <c r="L24" s="7"/>
      <c r="M24" s="139"/>
      <c r="N24" s="7" t="s">
        <v>2</v>
      </c>
      <c r="O24" s="7"/>
      <c r="P24" s="139"/>
      <c r="Q24" s="7" t="s">
        <v>2</v>
      </c>
      <c r="R24" s="7"/>
      <c r="S24" s="139"/>
      <c r="T24" s="7" t="s">
        <v>2</v>
      </c>
      <c r="U24" s="7"/>
      <c r="V24" s="139"/>
      <c r="W24" s="7" t="s">
        <v>2</v>
      </c>
      <c r="X24" s="7"/>
      <c r="Y24" s="139"/>
      <c r="Z24" s="10">
        <v>28.5</v>
      </c>
      <c r="AA24" s="33">
        <v>5</v>
      </c>
      <c r="AB24" s="149"/>
      <c r="AC24" s="41" t="s">
        <v>2</v>
      </c>
      <c r="AD24" s="41"/>
      <c r="AE24" s="139"/>
      <c r="AF24" s="10">
        <v>24.5</v>
      </c>
      <c r="AG24" s="10">
        <v>1</v>
      </c>
      <c r="AH24" s="139"/>
      <c r="AJ24" s="47" t="s">
        <v>374</v>
      </c>
      <c r="AK24" s="9">
        <v>3</v>
      </c>
      <c r="AL24" s="9">
        <v>1.7</v>
      </c>
      <c r="AM24" s="9">
        <v>3.4</v>
      </c>
      <c r="AN24" s="9">
        <v>2.2999999999999998</v>
      </c>
      <c r="AO24" s="9">
        <v>3</v>
      </c>
      <c r="AP24" s="9">
        <v>4.7</v>
      </c>
      <c r="AQ24" s="9">
        <v>2</v>
      </c>
      <c r="AR24" s="9">
        <v>4</v>
      </c>
      <c r="AS24" s="9">
        <v>2.7</v>
      </c>
      <c r="AT24" s="48">
        <v>1.8</v>
      </c>
    </row>
    <row r="25" spans="1:46" x14ac:dyDescent="0.35">
      <c r="A25" s="158"/>
      <c r="B25" s="157"/>
      <c r="C25" s="4" t="s">
        <v>375</v>
      </c>
      <c r="D25" s="4" t="s">
        <v>16</v>
      </c>
      <c r="E25" s="4">
        <v>23</v>
      </c>
      <c r="F25" s="4">
        <v>3</v>
      </c>
      <c r="G25" s="153"/>
      <c r="H25" s="10">
        <v>20</v>
      </c>
      <c r="I25" s="10">
        <v>1</v>
      </c>
      <c r="J25" s="139"/>
      <c r="K25" s="7" t="s">
        <v>2</v>
      </c>
      <c r="L25" s="7"/>
      <c r="M25" s="139"/>
      <c r="N25" s="7" t="s">
        <v>2</v>
      </c>
      <c r="O25" s="7"/>
      <c r="P25" s="139"/>
      <c r="Q25" s="7" t="s">
        <v>2</v>
      </c>
      <c r="R25" s="7"/>
      <c r="S25" s="139"/>
      <c r="T25" s="7" t="s">
        <v>2</v>
      </c>
      <c r="U25" s="7"/>
      <c r="V25" s="139"/>
      <c r="W25" s="7" t="s">
        <v>2</v>
      </c>
      <c r="X25" s="7"/>
      <c r="Y25" s="139"/>
      <c r="Z25" s="10">
        <v>35</v>
      </c>
      <c r="AA25" s="33">
        <v>5</v>
      </c>
      <c r="AB25" s="149"/>
      <c r="AC25" s="41">
        <v>21.6</v>
      </c>
      <c r="AD25" s="41">
        <v>3</v>
      </c>
      <c r="AE25" s="139"/>
      <c r="AF25" s="10">
        <v>19.100000000000001</v>
      </c>
      <c r="AG25" s="10">
        <v>1</v>
      </c>
      <c r="AH25" s="139"/>
      <c r="AJ25" s="47" t="s">
        <v>330</v>
      </c>
      <c r="AK25" s="9">
        <v>1</v>
      </c>
      <c r="AL25" s="9">
        <v>4</v>
      </c>
      <c r="AM25" s="9">
        <v>1</v>
      </c>
      <c r="AN25" s="9">
        <v>5</v>
      </c>
      <c r="AO25" s="9">
        <v>4</v>
      </c>
      <c r="AP25" s="9">
        <v>4</v>
      </c>
      <c r="AQ25" s="9">
        <v>1</v>
      </c>
      <c r="AR25" s="9">
        <v>3</v>
      </c>
      <c r="AS25" s="9">
        <v>5</v>
      </c>
      <c r="AT25" s="48">
        <v>1</v>
      </c>
    </row>
    <row r="26" spans="1:46" x14ac:dyDescent="0.35">
      <c r="A26" s="158"/>
      <c r="B26" s="157"/>
      <c r="C26" s="4" t="s">
        <v>376</v>
      </c>
      <c r="D26" s="4" t="s">
        <v>15</v>
      </c>
      <c r="E26" s="4">
        <v>110</v>
      </c>
      <c r="F26" s="4">
        <v>5</v>
      </c>
      <c r="G26" s="153"/>
      <c r="H26" s="10">
        <v>80</v>
      </c>
      <c r="I26" s="10">
        <v>3</v>
      </c>
      <c r="J26" s="139"/>
      <c r="K26" s="10">
        <v>87.4</v>
      </c>
      <c r="L26" s="10">
        <v>3</v>
      </c>
      <c r="M26" s="139"/>
      <c r="N26" s="10">
        <v>75.7</v>
      </c>
      <c r="O26" s="10">
        <v>1</v>
      </c>
      <c r="P26" s="139"/>
      <c r="Q26" s="10">
        <v>75</v>
      </c>
      <c r="R26" s="10">
        <v>1</v>
      </c>
      <c r="S26" s="139"/>
      <c r="T26" s="10">
        <v>76</v>
      </c>
      <c r="U26" s="10">
        <v>1</v>
      </c>
      <c r="V26" s="139"/>
      <c r="W26" s="10">
        <v>75</v>
      </c>
      <c r="X26" s="10">
        <v>1</v>
      </c>
      <c r="Y26" s="139"/>
      <c r="Z26" s="7" t="s">
        <v>2</v>
      </c>
      <c r="AA26" s="34"/>
      <c r="AB26" s="149"/>
      <c r="AC26" s="41" t="s">
        <v>2</v>
      </c>
      <c r="AD26" s="41"/>
      <c r="AE26" s="139"/>
      <c r="AF26" s="10">
        <v>70</v>
      </c>
      <c r="AG26" s="10">
        <v>1</v>
      </c>
      <c r="AH26" s="139"/>
      <c r="AJ26" s="47" t="s">
        <v>333</v>
      </c>
      <c r="AK26" s="9">
        <v>3.7</v>
      </c>
      <c r="AL26" s="9">
        <v>2.8</v>
      </c>
      <c r="AM26" s="9">
        <v>2.2999999999999998</v>
      </c>
      <c r="AN26" s="9">
        <v>1</v>
      </c>
      <c r="AO26" s="9">
        <v>3</v>
      </c>
      <c r="AP26" s="9">
        <v>3</v>
      </c>
      <c r="AQ26" s="9">
        <v>1.8</v>
      </c>
      <c r="AR26" s="9">
        <v>3.4</v>
      </c>
      <c r="AS26" s="9">
        <v>3</v>
      </c>
      <c r="AT26" s="48">
        <v>2.1</v>
      </c>
    </row>
    <row r="27" spans="1:46" x14ac:dyDescent="0.35">
      <c r="A27" s="158"/>
      <c r="B27" s="157"/>
      <c r="C27" s="4" t="s">
        <v>377</v>
      </c>
      <c r="D27" s="4" t="s">
        <v>17</v>
      </c>
      <c r="E27" s="4">
        <v>21</v>
      </c>
      <c r="F27" s="4">
        <v>1</v>
      </c>
      <c r="G27" s="153"/>
      <c r="H27" s="13">
        <v>26.5</v>
      </c>
      <c r="I27" s="13">
        <v>5</v>
      </c>
      <c r="J27" s="139"/>
      <c r="K27" s="7" t="s">
        <v>2</v>
      </c>
      <c r="L27" s="7"/>
      <c r="M27" s="139"/>
      <c r="N27" s="10">
        <v>21</v>
      </c>
      <c r="O27" s="10">
        <v>1</v>
      </c>
      <c r="P27" s="139"/>
      <c r="Q27" s="7" t="s">
        <v>2</v>
      </c>
      <c r="R27" s="7"/>
      <c r="S27" s="139"/>
      <c r="T27" s="7" t="s">
        <v>2</v>
      </c>
      <c r="U27" s="7"/>
      <c r="V27" s="139"/>
      <c r="W27" s="10">
        <v>22</v>
      </c>
      <c r="X27" s="10">
        <v>1</v>
      </c>
      <c r="Y27" s="139"/>
      <c r="Z27" s="7" t="s">
        <v>2</v>
      </c>
      <c r="AA27" s="34"/>
      <c r="AB27" s="149"/>
      <c r="AC27" s="41" t="s">
        <v>2</v>
      </c>
      <c r="AD27" s="41"/>
      <c r="AE27" s="139"/>
      <c r="AF27" s="10">
        <v>25</v>
      </c>
      <c r="AG27" s="10">
        <v>3</v>
      </c>
      <c r="AH27" s="139"/>
      <c r="AJ27" s="47" t="s">
        <v>336</v>
      </c>
      <c r="AK27" s="9">
        <v>2.5</v>
      </c>
      <c r="AL27" s="9">
        <v>3.5</v>
      </c>
      <c r="AM27" s="9">
        <v>3</v>
      </c>
      <c r="AN27" s="9">
        <v>3</v>
      </c>
      <c r="AO27" s="9">
        <v>3</v>
      </c>
      <c r="AP27" s="9">
        <v>3.7</v>
      </c>
      <c r="AQ27" s="9">
        <v>2</v>
      </c>
      <c r="AR27" s="9">
        <v>2.5</v>
      </c>
      <c r="AS27" s="9">
        <v>2.5</v>
      </c>
      <c r="AT27" s="48">
        <v>1.5</v>
      </c>
    </row>
    <row r="28" spans="1:46" x14ac:dyDescent="0.35">
      <c r="A28" s="158"/>
      <c r="B28" s="157"/>
      <c r="C28" s="4" t="s">
        <v>378</v>
      </c>
      <c r="D28" s="4" t="s">
        <v>15</v>
      </c>
      <c r="E28" s="4">
        <v>75</v>
      </c>
      <c r="F28" s="4">
        <v>5</v>
      </c>
      <c r="G28" s="153"/>
      <c r="H28" s="10">
        <v>28</v>
      </c>
      <c r="I28" s="10">
        <v>1</v>
      </c>
      <c r="J28" s="139"/>
      <c r="K28" s="7" t="s">
        <v>2</v>
      </c>
      <c r="L28" s="7"/>
      <c r="M28" s="139"/>
      <c r="N28" s="7" t="s">
        <v>2</v>
      </c>
      <c r="O28" s="7"/>
      <c r="P28" s="139"/>
      <c r="Q28" s="7">
        <v>37</v>
      </c>
      <c r="R28" s="7">
        <v>3</v>
      </c>
      <c r="S28" s="139"/>
      <c r="T28" s="7">
        <v>38</v>
      </c>
      <c r="U28" s="7">
        <v>3</v>
      </c>
      <c r="V28" s="139"/>
      <c r="W28" s="10">
        <v>40</v>
      </c>
      <c r="X28" s="10">
        <v>3</v>
      </c>
      <c r="Y28" s="139"/>
      <c r="Z28" s="7" t="s">
        <v>2</v>
      </c>
      <c r="AA28" s="34"/>
      <c r="AB28" s="149"/>
      <c r="AC28" s="41" t="s">
        <v>2</v>
      </c>
      <c r="AD28" s="41"/>
      <c r="AE28" s="139"/>
      <c r="AF28" s="7">
        <v>45</v>
      </c>
      <c r="AG28" s="10">
        <v>3</v>
      </c>
      <c r="AH28" s="139"/>
      <c r="AJ28" s="47" t="s">
        <v>339</v>
      </c>
      <c r="AK28" s="9">
        <v>3</v>
      </c>
      <c r="AL28" s="9">
        <v>3</v>
      </c>
      <c r="AM28" s="9">
        <v>4</v>
      </c>
      <c r="AN28" s="9">
        <v>3</v>
      </c>
      <c r="AO28" s="9">
        <v>3</v>
      </c>
      <c r="AP28" s="9">
        <v>3</v>
      </c>
      <c r="AQ28" s="9">
        <v>2</v>
      </c>
      <c r="AR28" s="9">
        <v>4</v>
      </c>
      <c r="AS28" s="9">
        <v>3</v>
      </c>
      <c r="AT28" s="48">
        <v>4</v>
      </c>
    </row>
    <row r="29" spans="1:46" x14ac:dyDescent="0.35">
      <c r="A29" s="158"/>
      <c r="B29" s="157"/>
      <c r="C29" s="4" t="s">
        <v>379</v>
      </c>
      <c r="D29" s="4" t="s">
        <v>17</v>
      </c>
      <c r="E29" s="4">
        <v>17</v>
      </c>
      <c r="F29" s="4">
        <v>1</v>
      </c>
      <c r="G29" s="154"/>
      <c r="H29" s="10">
        <v>26.5</v>
      </c>
      <c r="I29" s="10">
        <v>5</v>
      </c>
      <c r="J29" s="141"/>
      <c r="K29" s="7" t="s">
        <v>2</v>
      </c>
      <c r="L29" s="7"/>
      <c r="M29" s="141"/>
      <c r="N29" s="7" t="s">
        <v>2</v>
      </c>
      <c r="O29" s="7"/>
      <c r="P29" s="141"/>
      <c r="Q29" s="7" t="s">
        <v>2</v>
      </c>
      <c r="R29" s="7"/>
      <c r="S29" s="141"/>
      <c r="T29" s="7" t="s">
        <v>2</v>
      </c>
      <c r="U29" s="7"/>
      <c r="V29" s="141"/>
      <c r="W29" s="10">
        <v>22</v>
      </c>
      <c r="X29" s="10">
        <v>3</v>
      </c>
      <c r="Y29" s="141"/>
      <c r="Z29" s="7" t="s">
        <v>2</v>
      </c>
      <c r="AA29" s="34"/>
      <c r="AB29" s="149"/>
      <c r="AC29" s="41" t="s">
        <v>2</v>
      </c>
      <c r="AD29" s="41"/>
      <c r="AE29" s="141"/>
      <c r="AF29" s="7">
        <v>25</v>
      </c>
      <c r="AG29" s="10">
        <v>5</v>
      </c>
      <c r="AH29" s="141"/>
      <c r="AJ29" s="47" t="s">
        <v>342</v>
      </c>
      <c r="AK29" s="9">
        <v>3</v>
      </c>
      <c r="AL29" s="9">
        <v>5</v>
      </c>
      <c r="AM29" s="9">
        <v>2</v>
      </c>
      <c r="AN29" s="9">
        <v>4</v>
      </c>
      <c r="AO29" s="9">
        <v>3</v>
      </c>
      <c r="AP29" s="9">
        <v>3</v>
      </c>
      <c r="AQ29" s="9">
        <v>2</v>
      </c>
      <c r="AR29" s="9">
        <v>1</v>
      </c>
      <c r="AS29" s="9">
        <v>3</v>
      </c>
      <c r="AT29" s="48">
        <v>1</v>
      </c>
    </row>
    <row r="30" spans="1:46" ht="17.25" thickBot="1" x14ac:dyDescent="0.4">
      <c r="A30" s="158"/>
      <c r="B30" s="159" t="s">
        <v>336</v>
      </c>
      <c r="C30" s="4" t="s">
        <v>380</v>
      </c>
      <c r="D30" s="4" t="s">
        <v>18</v>
      </c>
      <c r="E30" s="4" t="s">
        <v>75</v>
      </c>
      <c r="F30" s="4">
        <v>3</v>
      </c>
      <c r="G30" s="152">
        <v>2.5</v>
      </c>
      <c r="H30" s="10" t="s">
        <v>76</v>
      </c>
      <c r="I30" s="10">
        <v>5</v>
      </c>
      <c r="J30" s="140">
        <v>3.5</v>
      </c>
      <c r="K30" s="10" t="s">
        <v>77</v>
      </c>
      <c r="L30" s="10">
        <v>1</v>
      </c>
      <c r="M30" s="140">
        <v>3</v>
      </c>
      <c r="N30" s="10" t="s">
        <v>78</v>
      </c>
      <c r="O30" s="10">
        <v>3</v>
      </c>
      <c r="P30" s="140">
        <v>3</v>
      </c>
      <c r="Q30" s="10" t="s">
        <v>79</v>
      </c>
      <c r="R30" s="10">
        <v>5</v>
      </c>
      <c r="S30" s="140">
        <v>3</v>
      </c>
      <c r="T30" s="10" t="s">
        <v>25</v>
      </c>
      <c r="U30" s="10">
        <v>5</v>
      </c>
      <c r="V30" s="140">
        <v>3.7</v>
      </c>
      <c r="W30" s="10" t="s">
        <v>80</v>
      </c>
      <c r="X30" s="10">
        <v>3</v>
      </c>
      <c r="Y30" s="140">
        <v>2</v>
      </c>
      <c r="Z30" s="10" t="s">
        <v>32</v>
      </c>
      <c r="AA30" s="10">
        <v>3</v>
      </c>
      <c r="AB30" s="140">
        <v>2.5</v>
      </c>
      <c r="AC30" s="10" t="s">
        <v>33</v>
      </c>
      <c r="AD30" s="10">
        <v>3</v>
      </c>
      <c r="AE30" s="140">
        <v>2.5</v>
      </c>
      <c r="AF30" s="10" t="s">
        <v>81</v>
      </c>
      <c r="AG30" s="10">
        <v>1</v>
      </c>
      <c r="AH30" s="140">
        <v>1.5</v>
      </c>
      <c r="AJ30" s="49" t="s">
        <v>345</v>
      </c>
      <c r="AK30" s="27">
        <v>2</v>
      </c>
      <c r="AL30" s="27">
        <v>4.3</v>
      </c>
      <c r="AM30" s="27">
        <v>2</v>
      </c>
      <c r="AN30" s="27">
        <v>3</v>
      </c>
      <c r="AO30" s="27">
        <v>2</v>
      </c>
      <c r="AP30" s="27">
        <v>2.5</v>
      </c>
      <c r="AQ30" s="27">
        <v>2.2999999999999998</v>
      </c>
      <c r="AR30" s="27">
        <v>3</v>
      </c>
      <c r="AS30" s="27">
        <v>3</v>
      </c>
      <c r="AT30" s="50">
        <v>1</v>
      </c>
    </row>
    <row r="31" spans="1:46" x14ac:dyDescent="0.35">
      <c r="A31" s="158"/>
      <c r="B31" s="160"/>
      <c r="C31" s="4" t="s">
        <v>381</v>
      </c>
      <c r="D31" s="4" t="s">
        <v>19</v>
      </c>
      <c r="E31" s="4">
        <v>52.8</v>
      </c>
      <c r="F31" s="4">
        <v>3</v>
      </c>
      <c r="G31" s="153"/>
      <c r="H31" s="10">
        <v>50.5</v>
      </c>
      <c r="I31" s="10">
        <v>3</v>
      </c>
      <c r="J31" s="139"/>
      <c r="K31" s="10" t="s">
        <v>2</v>
      </c>
      <c r="L31" s="10"/>
      <c r="M31" s="139"/>
      <c r="N31" s="7" t="s">
        <v>2</v>
      </c>
      <c r="O31" s="7"/>
      <c r="P31" s="139"/>
      <c r="Q31" s="10">
        <v>45.1</v>
      </c>
      <c r="R31" s="10">
        <v>3</v>
      </c>
      <c r="S31" s="139"/>
      <c r="T31" s="10">
        <v>64.400000000000006</v>
      </c>
      <c r="U31" s="10">
        <v>5</v>
      </c>
      <c r="V31" s="139"/>
      <c r="W31" s="10">
        <v>38.299999999999997</v>
      </c>
      <c r="X31" s="10">
        <v>1</v>
      </c>
      <c r="Y31" s="139"/>
      <c r="Z31" s="10">
        <v>55.5</v>
      </c>
      <c r="AA31" s="10">
        <v>3</v>
      </c>
      <c r="AB31" s="139"/>
      <c r="AC31" s="10">
        <v>44.9</v>
      </c>
      <c r="AD31" s="10">
        <v>3</v>
      </c>
      <c r="AE31" s="139"/>
      <c r="AF31" s="10">
        <v>40.700000000000003</v>
      </c>
      <c r="AG31" s="10">
        <v>1</v>
      </c>
      <c r="AH31" s="139"/>
      <c r="AJ31" s="60" t="s">
        <v>382</v>
      </c>
      <c r="AK31" s="60">
        <v>2.6240000000000001</v>
      </c>
      <c r="AL31" s="60">
        <v>3.4359999999999999</v>
      </c>
      <c r="AM31" s="60">
        <v>2.6040000000000001</v>
      </c>
      <c r="AN31" s="60">
        <v>3.036</v>
      </c>
      <c r="AO31" s="60">
        <v>2.96</v>
      </c>
      <c r="AP31" s="60">
        <v>3.2679999999999998</v>
      </c>
      <c r="AQ31" s="60">
        <v>2.1320000000000001</v>
      </c>
      <c r="AR31" s="60">
        <v>2.9079999999999999</v>
      </c>
      <c r="AS31" s="60">
        <v>3.1040000000000001</v>
      </c>
      <c r="AT31" s="60">
        <v>1.968</v>
      </c>
    </row>
    <row r="32" spans="1:46" x14ac:dyDescent="0.35">
      <c r="A32" s="158"/>
      <c r="B32" s="160"/>
      <c r="C32" s="4" t="s">
        <v>383</v>
      </c>
      <c r="D32" s="4" t="s">
        <v>20</v>
      </c>
      <c r="E32" s="4">
        <v>32</v>
      </c>
      <c r="F32" s="4">
        <v>1</v>
      </c>
      <c r="G32" s="153"/>
      <c r="H32" s="10" t="s">
        <v>82</v>
      </c>
      <c r="I32" s="10">
        <v>3</v>
      </c>
      <c r="J32" s="139"/>
      <c r="K32" s="10" t="s">
        <v>83</v>
      </c>
      <c r="L32" s="10">
        <v>5</v>
      </c>
      <c r="M32" s="139"/>
      <c r="N32" s="10">
        <v>29</v>
      </c>
      <c r="O32" s="10">
        <v>3</v>
      </c>
      <c r="P32" s="139"/>
      <c r="Q32" s="10" t="s">
        <v>84</v>
      </c>
      <c r="R32" s="10">
        <v>1</v>
      </c>
      <c r="S32" s="139"/>
      <c r="T32" s="10" t="s">
        <v>85</v>
      </c>
      <c r="U32" s="10">
        <v>1</v>
      </c>
      <c r="V32" s="139"/>
      <c r="W32" s="10">
        <v>28.4</v>
      </c>
      <c r="X32" s="10">
        <v>3</v>
      </c>
      <c r="Y32" s="139"/>
      <c r="Z32" s="10">
        <v>32.1</v>
      </c>
      <c r="AA32" s="10">
        <v>1</v>
      </c>
      <c r="AB32" s="139"/>
      <c r="AC32" s="10">
        <v>32.4</v>
      </c>
      <c r="AD32" s="10">
        <v>1</v>
      </c>
      <c r="AE32" s="139"/>
      <c r="AF32" s="10">
        <v>31.6</v>
      </c>
      <c r="AG32" s="10">
        <v>1</v>
      </c>
      <c r="AH32" s="139"/>
    </row>
    <row r="33" spans="1:34" x14ac:dyDescent="0.35">
      <c r="A33" s="158"/>
      <c r="B33" s="161"/>
      <c r="C33" s="4" t="s">
        <v>384</v>
      </c>
      <c r="D33" s="4" t="s">
        <v>21</v>
      </c>
      <c r="E33" s="4">
        <v>35</v>
      </c>
      <c r="F33" s="4">
        <v>3</v>
      </c>
      <c r="G33" s="154"/>
      <c r="H33" s="10">
        <v>30</v>
      </c>
      <c r="I33" s="10">
        <v>3</v>
      </c>
      <c r="J33" s="141"/>
      <c r="K33" s="10" t="s">
        <v>2</v>
      </c>
      <c r="L33" s="10"/>
      <c r="M33" s="141"/>
      <c r="N33" s="7" t="s">
        <v>2</v>
      </c>
      <c r="O33" s="7"/>
      <c r="P33" s="141"/>
      <c r="Q33" s="7" t="s">
        <v>2</v>
      </c>
      <c r="R33" s="7"/>
      <c r="S33" s="141"/>
      <c r="T33" s="7" t="s">
        <v>2</v>
      </c>
      <c r="U33" s="7"/>
      <c r="V33" s="141"/>
      <c r="W33" s="7">
        <v>20</v>
      </c>
      <c r="X33" s="7">
        <v>1</v>
      </c>
      <c r="Y33" s="141"/>
      <c r="Z33" s="10">
        <v>35</v>
      </c>
      <c r="AA33" s="10">
        <v>3</v>
      </c>
      <c r="AB33" s="141"/>
      <c r="AC33" s="10">
        <v>35</v>
      </c>
      <c r="AD33" s="10">
        <v>3</v>
      </c>
      <c r="AE33" s="141"/>
      <c r="AF33" s="10">
        <v>30</v>
      </c>
      <c r="AG33" s="10">
        <v>3</v>
      </c>
      <c r="AH33" s="141"/>
    </row>
    <row r="34" spans="1:34" x14ac:dyDescent="0.35">
      <c r="A34" s="158"/>
      <c r="B34" s="159" t="s">
        <v>339</v>
      </c>
      <c r="C34" s="4" t="s">
        <v>385</v>
      </c>
      <c r="D34" s="4" t="s">
        <v>22</v>
      </c>
      <c r="E34" s="4">
        <v>9.5</v>
      </c>
      <c r="F34" s="4">
        <v>3</v>
      </c>
      <c r="G34" s="152">
        <v>3</v>
      </c>
      <c r="H34" s="10">
        <v>9</v>
      </c>
      <c r="I34" s="10">
        <v>3</v>
      </c>
      <c r="J34" s="140">
        <v>3</v>
      </c>
      <c r="K34" s="10">
        <v>9</v>
      </c>
      <c r="L34" s="10">
        <v>3</v>
      </c>
      <c r="M34" s="140">
        <v>4</v>
      </c>
      <c r="N34" s="7" t="s">
        <v>2</v>
      </c>
      <c r="O34" s="7"/>
      <c r="P34" s="140">
        <v>3</v>
      </c>
      <c r="Q34" s="10">
        <v>9.1999999999999993</v>
      </c>
      <c r="R34" s="10">
        <v>3</v>
      </c>
      <c r="S34" s="140">
        <v>3</v>
      </c>
      <c r="T34" s="10">
        <v>9.1999999999999993</v>
      </c>
      <c r="U34" s="10">
        <v>3</v>
      </c>
      <c r="V34" s="140">
        <v>3</v>
      </c>
      <c r="W34" s="10">
        <v>8.5</v>
      </c>
      <c r="X34" s="10">
        <v>1</v>
      </c>
      <c r="Y34" s="140">
        <v>2</v>
      </c>
      <c r="Z34" s="10">
        <v>10.1</v>
      </c>
      <c r="AA34" s="10">
        <v>5</v>
      </c>
      <c r="AB34" s="140">
        <v>4</v>
      </c>
      <c r="AC34" s="10">
        <v>9.8000000000000007</v>
      </c>
      <c r="AD34" s="10">
        <v>5</v>
      </c>
      <c r="AE34" s="140">
        <v>3</v>
      </c>
      <c r="AF34" s="10">
        <v>10</v>
      </c>
      <c r="AG34" s="10">
        <v>5</v>
      </c>
      <c r="AH34" s="140">
        <v>4</v>
      </c>
    </row>
    <row r="35" spans="1:34" x14ac:dyDescent="0.35">
      <c r="A35" s="158"/>
      <c r="B35" s="161"/>
      <c r="C35" s="4" t="s">
        <v>431</v>
      </c>
      <c r="D35" s="4" t="s">
        <v>21</v>
      </c>
      <c r="E35" s="4" t="s">
        <v>38</v>
      </c>
      <c r="F35" s="4">
        <v>3</v>
      </c>
      <c r="G35" s="154"/>
      <c r="H35" s="7" t="s">
        <v>86</v>
      </c>
      <c r="I35" s="7">
        <v>3</v>
      </c>
      <c r="J35" s="141"/>
      <c r="K35" s="13" t="s">
        <v>87</v>
      </c>
      <c r="L35" s="13">
        <v>5</v>
      </c>
      <c r="M35" s="141"/>
      <c r="N35" s="7" t="s">
        <v>23</v>
      </c>
      <c r="O35" s="7">
        <v>3</v>
      </c>
      <c r="P35" s="141"/>
      <c r="Q35" s="7" t="s">
        <v>38</v>
      </c>
      <c r="R35" s="7">
        <v>3</v>
      </c>
      <c r="S35" s="141"/>
      <c r="T35" s="7" t="s">
        <v>39</v>
      </c>
      <c r="U35" s="7">
        <v>3</v>
      </c>
      <c r="V35" s="141"/>
      <c r="W35" s="7" t="s">
        <v>26</v>
      </c>
      <c r="X35" s="7">
        <v>3</v>
      </c>
      <c r="Y35" s="141"/>
      <c r="Z35" s="7" t="s">
        <v>2</v>
      </c>
      <c r="AA35" s="7"/>
      <c r="AB35" s="141"/>
      <c r="AC35" s="7" t="s">
        <v>88</v>
      </c>
      <c r="AD35" s="7">
        <v>1</v>
      </c>
      <c r="AE35" s="141"/>
      <c r="AF35" s="7" t="s">
        <v>2</v>
      </c>
      <c r="AG35" s="10"/>
      <c r="AH35" s="141"/>
    </row>
    <row r="36" spans="1:34" x14ac:dyDescent="0.35">
      <c r="A36" s="158"/>
      <c r="B36" s="159" t="s">
        <v>342</v>
      </c>
      <c r="C36" s="4" t="s">
        <v>386</v>
      </c>
      <c r="D36" s="4" t="s">
        <v>19</v>
      </c>
      <c r="E36" s="4">
        <v>44.5</v>
      </c>
      <c r="F36" s="4">
        <v>3</v>
      </c>
      <c r="G36" s="152">
        <v>3</v>
      </c>
      <c r="H36" s="10">
        <v>49.2</v>
      </c>
      <c r="I36" s="10">
        <v>5</v>
      </c>
      <c r="J36" s="140">
        <v>5</v>
      </c>
      <c r="K36" s="10">
        <v>36.799999999999997</v>
      </c>
      <c r="L36" s="10">
        <v>1</v>
      </c>
      <c r="M36" s="140">
        <v>2</v>
      </c>
      <c r="N36" s="10">
        <v>42.3</v>
      </c>
      <c r="O36" s="10">
        <v>3</v>
      </c>
      <c r="P36" s="140">
        <v>4</v>
      </c>
      <c r="Q36" s="10">
        <v>45.2</v>
      </c>
      <c r="R36" s="10">
        <v>3</v>
      </c>
      <c r="S36" s="140">
        <v>3</v>
      </c>
      <c r="T36" s="10">
        <v>45.2</v>
      </c>
      <c r="U36" s="10">
        <v>3</v>
      </c>
      <c r="V36" s="140">
        <v>3</v>
      </c>
      <c r="W36" s="10">
        <v>36.200000000000003</v>
      </c>
      <c r="X36" s="10">
        <v>1</v>
      </c>
      <c r="Y36" s="140">
        <v>2</v>
      </c>
      <c r="Z36" s="10">
        <v>37</v>
      </c>
      <c r="AA36" s="10">
        <v>1</v>
      </c>
      <c r="AB36" s="140">
        <v>1</v>
      </c>
      <c r="AC36" s="10">
        <v>43.4</v>
      </c>
      <c r="AD36" s="10">
        <v>3</v>
      </c>
      <c r="AE36" s="140">
        <v>3</v>
      </c>
      <c r="AF36" s="10">
        <v>34.9</v>
      </c>
      <c r="AG36" s="10">
        <v>1</v>
      </c>
      <c r="AH36" s="140">
        <v>1</v>
      </c>
    </row>
    <row r="37" spans="1:34" x14ac:dyDescent="0.35">
      <c r="A37" s="158"/>
      <c r="B37" s="161"/>
      <c r="C37" s="4" t="s">
        <v>387</v>
      </c>
      <c r="D37" s="4" t="s">
        <v>19</v>
      </c>
      <c r="E37" s="4">
        <v>24.3</v>
      </c>
      <c r="F37" s="4">
        <v>3</v>
      </c>
      <c r="G37" s="154"/>
      <c r="H37" s="10">
        <v>28.6</v>
      </c>
      <c r="I37" s="10">
        <v>5</v>
      </c>
      <c r="J37" s="141"/>
      <c r="K37" s="10">
        <v>24</v>
      </c>
      <c r="L37" s="10">
        <v>3</v>
      </c>
      <c r="M37" s="141"/>
      <c r="N37" s="10">
        <v>31.1</v>
      </c>
      <c r="O37" s="10">
        <v>5</v>
      </c>
      <c r="P37" s="141"/>
      <c r="Q37" s="10">
        <v>26.1</v>
      </c>
      <c r="R37" s="10">
        <v>3</v>
      </c>
      <c r="S37" s="141"/>
      <c r="T37" s="10">
        <v>24.3</v>
      </c>
      <c r="U37" s="10">
        <v>3</v>
      </c>
      <c r="V37" s="141"/>
      <c r="W37" s="10">
        <v>25.9</v>
      </c>
      <c r="X37" s="10">
        <v>3</v>
      </c>
      <c r="Y37" s="141"/>
      <c r="Z37" s="10">
        <v>23</v>
      </c>
      <c r="AA37" s="10">
        <v>1</v>
      </c>
      <c r="AB37" s="141"/>
      <c r="AC37" s="10">
        <v>27.4</v>
      </c>
      <c r="AD37" s="10">
        <v>3</v>
      </c>
      <c r="AE37" s="141"/>
      <c r="AF37" s="10">
        <v>22.6</v>
      </c>
      <c r="AG37" s="10">
        <v>1</v>
      </c>
      <c r="AH37" s="141"/>
    </row>
    <row r="38" spans="1:34" ht="33" x14ac:dyDescent="0.35">
      <c r="A38" s="158"/>
      <c r="B38" s="159" t="s">
        <v>345</v>
      </c>
      <c r="C38" s="4" t="s">
        <v>432</v>
      </c>
      <c r="D38" s="4" t="s">
        <v>0</v>
      </c>
      <c r="E38" s="7" t="s">
        <v>2</v>
      </c>
      <c r="F38" s="7"/>
      <c r="G38" s="140">
        <v>2</v>
      </c>
      <c r="H38" s="7">
        <v>2587</v>
      </c>
      <c r="I38" s="7">
        <v>3</v>
      </c>
      <c r="J38" s="140">
        <v>4.3</v>
      </c>
      <c r="K38" s="7">
        <v>2511</v>
      </c>
      <c r="L38" s="7">
        <v>3</v>
      </c>
      <c r="M38" s="140">
        <v>2</v>
      </c>
      <c r="N38" s="7">
        <v>3060</v>
      </c>
      <c r="O38" s="7">
        <v>5</v>
      </c>
      <c r="P38" s="140">
        <v>3</v>
      </c>
      <c r="Q38" s="7" t="s">
        <v>2</v>
      </c>
      <c r="R38" s="7"/>
      <c r="S38" s="140">
        <v>2</v>
      </c>
      <c r="T38" s="7" t="s">
        <v>2</v>
      </c>
      <c r="U38" s="7"/>
      <c r="V38" s="140">
        <v>2.5</v>
      </c>
      <c r="W38" s="7">
        <v>2383</v>
      </c>
      <c r="X38" s="7">
        <v>3</v>
      </c>
      <c r="Y38" s="140">
        <v>2.2999999999999998</v>
      </c>
      <c r="Z38" s="7">
        <v>2400</v>
      </c>
      <c r="AA38" s="7">
        <v>3</v>
      </c>
      <c r="AB38" s="140">
        <v>3</v>
      </c>
      <c r="AC38" s="7">
        <v>2780</v>
      </c>
      <c r="AD38" s="7">
        <v>3</v>
      </c>
      <c r="AE38" s="140">
        <v>3</v>
      </c>
      <c r="AF38" s="7">
        <v>2165</v>
      </c>
      <c r="AG38" s="7">
        <v>1</v>
      </c>
      <c r="AH38" s="140">
        <v>1</v>
      </c>
    </row>
    <row r="39" spans="1:34" ht="33" x14ac:dyDescent="0.35">
      <c r="A39" s="158"/>
      <c r="B39" s="160"/>
      <c r="C39" s="4" t="s">
        <v>433</v>
      </c>
      <c r="D39" s="4" t="s">
        <v>0</v>
      </c>
      <c r="E39" s="4">
        <v>1760</v>
      </c>
      <c r="F39" s="4">
        <v>3</v>
      </c>
      <c r="G39" s="139"/>
      <c r="H39" s="12">
        <v>1953</v>
      </c>
      <c r="I39" s="12">
        <v>5</v>
      </c>
      <c r="J39" s="139"/>
      <c r="K39" s="7" t="s">
        <v>2</v>
      </c>
      <c r="L39" s="7"/>
      <c r="M39" s="139"/>
      <c r="N39" s="7" t="s">
        <v>2</v>
      </c>
      <c r="O39" s="7"/>
      <c r="P39" s="139"/>
      <c r="Q39" s="7" t="s">
        <v>2</v>
      </c>
      <c r="R39" s="7"/>
      <c r="S39" s="139"/>
      <c r="T39" s="7" t="s">
        <v>2</v>
      </c>
      <c r="U39" s="7"/>
      <c r="V39" s="139"/>
      <c r="W39" s="7">
        <v>1626</v>
      </c>
      <c r="X39" s="7">
        <v>3</v>
      </c>
      <c r="Y39" s="139"/>
      <c r="Z39" s="7" t="s">
        <v>2</v>
      </c>
      <c r="AA39" s="7"/>
      <c r="AB39" s="139"/>
      <c r="AC39" s="7">
        <v>1610</v>
      </c>
      <c r="AD39" s="7">
        <v>3</v>
      </c>
      <c r="AE39" s="139"/>
      <c r="AF39" s="7">
        <v>1360</v>
      </c>
      <c r="AG39" s="7">
        <v>1</v>
      </c>
      <c r="AH39" s="139"/>
    </row>
    <row r="40" spans="1:34" ht="33" x14ac:dyDescent="0.35">
      <c r="A40" s="158"/>
      <c r="B40" s="161"/>
      <c r="C40" s="4" t="s">
        <v>434</v>
      </c>
      <c r="D40" s="4" t="s">
        <v>0</v>
      </c>
      <c r="E40" s="4">
        <v>1030</v>
      </c>
      <c r="F40" s="4">
        <v>1</v>
      </c>
      <c r="G40" s="141"/>
      <c r="H40" s="12">
        <v>1579</v>
      </c>
      <c r="I40" s="12">
        <v>5</v>
      </c>
      <c r="J40" s="141"/>
      <c r="K40" s="12">
        <v>1150</v>
      </c>
      <c r="L40" s="12">
        <v>1</v>
      </c>
      <c r="M40" s="141"/>
      <c r="N40" s="7">
        <v>1057</v>
      </c>
      <c r="O40" s="7">
        <v>1</v>
      </c>
      <c r="P40" s="141"/>
      <c r="Q40" s="7" t="s">
        <v>2</v>
      </c>
      <c r="R40" s="7"/>
      <c r="S40" s="141"/>
      <c r="T40" s="7" t="s">
        <v>2</v>
      </c>
      <c r="U40" s="7"/>
      <c r="V40" s="141"/>
      <c r="W40" s="7">
        <v>1092</v>
      </c>
      <c r="X40" s="7">
        <v>1</v>
      </c>
      <c r="Y40" s="141"/>
      <c r="Z40" s="12">
        <v>1400</v>
      </c>
      <c r="AA40" s="12">
        <v>3</v>
      </c>
      <c r="AB40" s="141"/>
      <c r="AC40" s="12">
        <v>1430</v>
      </c>
      <c r="AD40" s="12">
        <v>3</v>
      </c>
      <c r="AE40" s="141"/>
      <c r="AF40" s="12">
        <v>1075</v>
      </c>
      <c r="AG40" s="10">
        <v>1</v>
      </c>
      <c r="AH40" s="141"/>
    </row>
    <row r="41" spans="1:34" x14ac:dyDescent="0.35">
      <c r="A41" s="156" t="s">
        <v>27</v>
      </c>
      <c r="B41" s="157" t="s">
        <v>350</v>
      </c>
      <c r="C41" s="4" t="s">
        <v>389</v>
      </c>
      <c r="D41" s="7" t="s">
        <v>2</v>
      </c>
      <c r="E41" s="10" t="s">
        <v>390</v>
      </c>
      <c r="F41" s="10">
        <v>3</v>
      </c>
      <c r="G41" s="140">
        <v>1</v>
      </c>
      <c r="H41" s="10" t="s">
        <v>390</v>
      </c>
      <c r="I41" s="10">
        <v>3</v>
      </c>
      <c r="J41" s="140">
        <v>1</v>
      </c>
      <c r="K41" s="10" t="s">
        <v>390</v>
      </c>
      <c r="L41" s="10">
        <v>3</v>
      </c>
      <c r="M41" s="140">
        <v>3</v>
      </c>
      <c r="N41" s="10" t="s">
        <v>390</v>
      </c>
      <c r="O41" s="10">
        <v>3</v>
      </c>
      <c r="P41" s="140">
        <v>1</v>
      </c>
      <c r="Q41" s="10" t="s">
        <v>390</v>
      </c>
      <c r="R41" s="10">
        <v>3</v>
      </c>
      <c r="S41" s="140">
        <v>1</v>
      </c>
      <c r="T41" s="10" t="s">
        <v>390</v>
      </c>
      <c r="U41" s="10">
        <v>3</v>
      </c>
      <c r="V41" s="140">
        <v>1</v>
      </c>
      <c r="W41" s="10" t="s">
        <v>390</v>
      </c>
      <c r="X41" s="10">
        <v>3</v>
      </c>
      <c r="Y41" s="140">
        <v>2.2999999999999998</v>
      </c>
      <c r="Z41" s="10" t="s">
        <v>390</v>
      </c>
      <c r="AA41" s="10">
        <v>3</v>
      </c>
      <c r="AB41" s="140">
        <v>1</v>
      </c>
      <c r="AC41" s="10" t="s">
        <v>390</v>
      </c>
      <c r="AD41" s="10">
        <v>3</v>
      </c>
      <c r="AE41" s="140">
        <v>1</v>
      </c>
      <c r="AF41" s="10" t="s">
        <v>390</v>
      </c>
      <c r="AG41" s="10">
        <v>3</v>
      </c>
      <c r="AH41" s="140">
        <v>2</v>
      </c>
    </row>
    <row r="42" spans="1:34" x14ac:dyDescent="0.35">
      <c r="A42" s="156"/>
      <c r="B42" s="157"/>
      <c r="C42" s="4" t="s">
        <v>392</v>
      </c>
      <c r="D42" s="7" t="s">
        <v>2</v>
      </c>
      <c r="E42" s="7" t="s">
        <v>2</v>
      </c>
      <c r="F42" s="7">
        <v>0</v>
      </c>
      <c r="G42" s="139"/>
      <c r="H42" s="7" t="s">
        <v>2</v>
      </c>
      <c r="I42" s="7">
        <v>0</v>
      </c>
      <c r="J42" s="139"/>
      <c r="K42" s="7" t="s">
        <v>390</v>
      </c>
      <c r="L42" s="7">
        <v>3</v>
      </c>
      <c r="M42" s="139"/>
      <c r="N42" s="7" t="s">
        <v>2</v>
      </c>
      <c r="O42" s="7">
        <v>0</v>
      </c>
      <c r="P42" s="139"/>
      <c r="Q42" s="7" t="s">
        <v>2</v>
      </c>
      <c r="R42" s="7">
        <v>0</v>
      </c>
      <c r="S42" s="139"/>
      <c r="T42" s="7" t="s">
        <v>2</v>
      </c>
      <c r="U42" s="7">
        <v>0</v>
      </c>
      <c r="V42" s="139"/>
      <c r="W42" s="7" t="s">
        <v>391</v>
      </c>
      <c r="X42" s="7">
        <v>1</v>
      </c>
      <c r="Y42" s="139"/>
      <c r="Z42" s="7" t="s">
        <v>2</v>
      </c>
      <c r="AA42" s="7">
        <v>0</v>
      </c>
      <c r="AB42" s="139"/>
      <c r="AC42" s="7" t="s">
        <v>2</v>
      </c>
      <c r="AD42" s="7">
        <v>0</v>
      </c>
      <c r="AE42" s="139"/>
      <c r="AF42" s="7" t="s">
        <v>2</v>
      </c>
      <c r="AG42" s="10">
        <v>0</v>
      </c>
      <c r="AH42" s="139"/>
    </row>
    <row r="43" spans="1:34" x14ac:dyDescent="0.35">
      <c r="A43" s="156"/>
      <c r="B43" s="157"/>
      <c r="C43" s="9" t="s">
        <v>28</v>
      </c>
      <c r="D43" s="7" t="s">
        <v>2</v>
      </c>
      <c r="E43" s="7" t="s">
        <v>2</v>
      </c>
      <c r="F43" s="7">
        <v>0</v>
      </c>
      <c r="G43" s="141"/>
      <c r="H43" s="7" t="s">
        <v>2</v>
      </c>
      <c r="I43" s="7">
        <v>0</v>
      </c>
      <c r="J43" s="141"/>
      <c r="K43" s="7" t="s">
        <v>390</v>
      </c>
      <c r="L43" s="7">
        <v>3</v>
      </c>
      <c r="M43" s="141"/>
      <c r="N43" s="7" t="s">
        <v>2</v>
      </c>
      <c r="O43" s="7">
        <v>0</v>
      </c>
      <c r="P43" s="141"/>
      <c r="Q43" s="7" t="s">
        <v>2</v>
      </c>
      <c r="R43" s="7">
        <v>0</v>
      </c>
      <c r="S43" s="141"/>
      <c r="T43" s="7" t="s">
        <v>2</v>
      </c>
      <c r="U43" s="7">
        <v>0</v>
      </c>
      <c r="V43" s="141"/>
      <c r="W43" s="7" t="s">
        <v>390</v>
      </c>
      <c r="X43" s="7">
        <v>3</v>
      </c>
      <c r="Y43" s="141"/>
      <c r="Z43" s="7" t="s">
        <v>2</v>
      </c>
      <c r="AA43" s="7">
        <v>0</v>
      </c>
      <c r="AB43" s="141"/>
      <c r="AC43" s="7" t="s">
        <v>2</v>
      </c>
      <c r="AD43" s="7">
        <v>0</v>
      </c>
      <c r="AE43" s="141"/>
      <c r="AF43" s="7" t="s">
        <v>390</v>
      </c>
      <c r="AG43" s="10">
        <v>3</v>
      </c>
      <c r="AH43" s="141"/>
    </row>
    <row r="44" spans="1:34" x14ac:dyDescent="0.35">
      <c r="A44" s="156"/>
      <c r="B44" s="157" t="s">
        <v>333</v>
      </c>
      <c r="C44" s="16" t="s">
        <v>393</v>
      </c>
      <c r="D44" s="7" t="s">
        <v>2</v>
      </c>
      <c r="E44" s="7" t="s">
        <v>2</v>
      </c>
      <c r="F44" s="7">
        <v>0</v>
      </c>
      <c r="G44" s="140">
        <v>1</v>
      </c>
      <c r="H44" s="11" t="s">
        <v>390</v>
      </c>
      <c r="I44" s="7">
        <v>5</v>
      </c>
      <c r="J44" s="140">
        <v>1.9</v>
      </c>
      <c r="K44" s="7" t="s">
        <v>2</v>
      </c>
      <c r="L44" s="7">
        <v>0</v>
      </c>
      <c r="M44" s="140">
        <v>0.9</v>
      </c>
      <c r="N44" s="7" t="s">
        <v>2</v>
      </c>
      <c r="O44" s="7">
        <v>0</v>
      </c>
      <c r="P44" s="140">
        <v>1.4</v>
      </c>
      <c r="Q44" s="7" t="s">
        <v>2</v>
      </c>
      <c r="R44" s="7">
        <v>0</v>
      </c>
      <c r="S44" s="140">
        <v>1</v>
      </c>
      <c r="T44" s="7" t="s">
        <v>2</v>
      </c>
      <c r="U44" s="7">
        <v>0</v>
      </c>
      <c r="V44" s="140">
        <v>1</v>
      </c>
      <c r="W44" s="7" t="s">
        <v>2</v>
      </c>
      <c r="X44" s="7">
        <v>0</v>
      </c>
      <c r="Y44" s="140">
        <v>0.9</v>
      </c>
      <c r="Z44" s="7" t="s">
        <v>2</v>
      </c>
      <c r="AA44" s="7">
        <v>0</v>
      </c>
      <c r="AB44" s="140">
        <v>1.6</v>
      </c>
      <c r="AC44" s="7" t="s">
        <v>2</v>
      </c>
      <c r="AD44" s="7">
        <v>0</v>
      </c>
      <c r="AE44" s="140">
        <v>0.4</v>
      </c>
      <c r="AF44" s="7" t="s">
        <v>2</v>
      </c>
      <c r="AG44" s="10">
        <v>0</v>
      </c>
      <c r="AH44" s="140">
        <v>1.3</v>
      </c>
    </row>
    <row r="45" spans="1:34" ht="33" x14ac:dyDescent="0.35">
      <c r="A45" s="156"/>
      <c r="B45" s="157"/>
      <c r="C45" s="4" t="s">
        <v>394</v>
      </c>
      <c r="D45" s="7" t="s">
        <v>2</v>
      </c>
      <c r="E45" s="10" t="s">
        <v>391</v>
      </c>
      <c r="F45" s="10">
        <v>1</v>
      </c>
      <c r="G45" s="139"/>
      <c r="H45" s="10" t="s">
        <v>391</v>
      </c>
      <c r="I45" s="10">
        <v>1</v>
      </c>
      <c r="J45" s="139"/>
      <c r="K45" s="7" t="s">
        <v>2</v>
      </c>
      <c r="L45" s="7">
        <v>0</v>
      </c>
      <c r="M45" s="139"/>
      <c r="N45" s="7" t="s">
        <v>2</v>
      </c>
      <c r="O45" s="7">
        <v>0</v>
      </c>
      <c r="P45" s="139"/>
      <c r="Q45" s="7" t="s">
        <v>2</v>
      </c>
      <c r="R45" s="7">
        <v>0</v>
      </c>
      <c r="S45" s="139"/>
      <c r="T45" s="7" t="s">
        <v>2</v>
      </c>
      <c r="U45" s="7">
        <v>0</v>
      </c>
      <c r="V45" s="139"/>
      <c r="W45" s="10" t="s">
        <v>391</v>
      </c>
      <c r="X45" s="10">
        <v>1</v>
      </c>
      <c r="Y45" s="139"/>
      <c r="Z45" s="10" t="s">
        <v>391</v>
      </c>
      <c r="AA45" s="10">
        <v>1</v>
      </c>
      <c r="AB45" s="139"/>
      <c r="AC45" s="7" t="s">
        <v>2</v>
      </c>
      <c r="AD45" s="7">
        <v>0</v>
      </c>
      <c r="AE45" s="139"/>
      <c r="AF45" s="7" t="s">
        <v>2</v>
      </c>
      <c r="AG45" s="10">
        <v>0</v>
      </c>
      <c r="AH45" s="139"/>
    </row>
    <row r="46" spans="1:34" x14ac:dyDescent="0.35">
      <c r="A46" s="156"/>
      <c r="B46" s="157"/>
      <c r="C46" s="4" t="s">
        <v>395</v>
      </c>
      <c r="D46" s="7" t="s">
        <v>2</v>
      </c>
      <c r="E46" s="10" t="s">
        <v>390</v>
      </c>
      <c r="F46" s="10">
        <v>3</v>
      </c>
      <c r="G46" s="139"/>
      <c r="H46" s="10" t="s">
        <v>390</v>
      </c>
      <c r="I46" s="10">
        <v>3</v>
      </c>
      <c r="J46" s="139"/>
      <c r="K46" s="10" t="s">
        <v>390</v>
      </c>
      <c r="L46" s="10">
        <v>3</v>
      </c>
      <c r="M46" s="139"/>
      <c r="N46" s="10" t="s">
        <v>390</v>
      </c>
      <c r="O46" s="10">
        <v>3</v>
      </c>
      <c r="P46" s="139"/>
      <c r="Q46" s="10" t="s">
        <v>390</v>
      </c>
      <c r="R46" s="10">
        <v>3</v>
      </c>
      <c r="S46" s="139"/>
      <c r="T46" s="10" t="s">
        <v>390</v>
      </c>
      <c r="U46" s="10">
        <v>3</v>
      </c>
      <c r="V46" s="139"/>
      <c r="W46" s="10" t="s">
        <v>390</v>
      </c>
      <c r="X46" s="10">
        <v>3</v>
      </c>
      <c r="Y46" s="139"/>
      <c r="Z46" s="10" t="s">
        <v>390</v>
      </c>
      <c r="AA46" s="10">
        <v>3</v>
      </c>
      <c r="AB46" s="139"/>
      <c r="AC46" s="10" t="s">
        <v>390</v>
      </c>
      <c r="AD46" s="10">
        <v>3</v>
      </c>
      <c r="AE46" s="139"/>
      <c r="AF46" s="10" t="s">
        <v>390</v>
      </c>
      <c r="AG46" s="10">
        <v>3</v>
      </c>
      <c r="AH46" s="139"/>
    </row>
    <row r="47" spans="1:34" x14ac:dyDescent="0.35">
      <c r="A47" s="156"/>
      <c r="B47" s="157"/>
      <c r="C47" s="4" t="s">
        <v>396</v>
      </c>
      <c r="D47" s="7" t="s">
        <v>2</v>
      </c>
      <c r="E47" s="7" t="s">
        <v>2</v>
      </c>
      <c r="F47" s="7">
        <v>0</v>
      </c>
      <c r="G47" s="139"/>
      <c r="H47" s="7" t="s">
        <v>2</v>
      </c>
      <c r="I47" s="7">
        <v>0</v>
      </c>
      <c r="J47" s="139"/>
      <c r="K47" s="7" t="s">
        <v>2</v>
      </c>
      <c r="L47" s="7">
        <v>0</v>
      </c>
      <c r="M47" s="139"/>
      <c r="N47" s="7" t="s">
        <v>390</v>
      </c>
      <c r="O47" s="7">
        <v>3</v>
      </c>
      <c r="P47" s="139"/>
      <c r="Q47" s="7" t="s">
        <v>2</v>
      </c>
      <c r="R47" s="7">
        <v>0</v>
      </c>
      <c r="S47" s="139"/>
      <c r="T47" s="7" t="s">
        <v>2</v>
      </c>
      <c r="U47" s="7">
        <v>0</v>
      </c>
      <c r="V47" s="139"/>
      <c r="W47" s="7" t="s">
        <v>2</v>
      </c>
      <c r="X47" s="7">
        <v>0</v>
      </c>
      <c r="Y47" s="139"/>
      <c r="Z47" s="10" t="s">
        <v>390</v>
      </c>
      <c r="AA47" s="10">
        <v>3</v>
      </c>
      <c r="AB47" s="139"/>
      <c r="AC47" s="7" t="s">
        <v>2</v>
      </c>
      <c r="AD47" s="7">
        <v>0</v>
      </c>
      <c r="AE47" s="139"/>
      <c r="AF47" s="7" t="s">
        <v>2</v>
      </c>
      <c r="AG47" s="10">
        <v>0</v>
      </c>
      <c r="AH47" s="139"/>
    </row>
    <row r="48" spans="1:34" x14ac:dyDescent="0.35">
      <c r="A48" s="156"/>
      <c r="B48" s="157"/>
      <c r="C48" s="4" t="s">
        <v>397</v>
      </c>
      <c r="D48" s="7" t="s">
        <v>2</v>
      </c>
      <c r="E48" s="10" t="s">
        <v>390</v>
      </c>
      <c r="F48" s="10">
        <v>3</v>
      </c>
      <c r="G48" s="139"/>
      <c r="H48" s="10" t="s">
        <v>390</v>
      </c>
      <c r="I48" s="10">
        <v>3</v>
      </c>
      <c r="J48" s="139"/>
      <c r="K48" s="10" t="s">
        <v>390</v>
      </c>
      <c r="L48" s="10">
        <v>3</v>
      </c>
      <c r="M48" s="139"/>
      <c r="N48" s="10" t="s">
        <v>390</v>
      </c>
      <c r="O48" s="10">
        <v>3</v>
      </c>
      <c r="P48" s="139"/>
      <c r="Q48" s="10" t="s">
        <v>391</v>
      </c>
      <c r="R48" s="10">
        <v>1</v>
      </c>
      <c r="S48" s="139"/>
      <c r="T48" s="10" t="s">
        <v>391</v>
      </c>
      <c r="U48" s="10">
        <v>1</v>
      </c>
      <c r="V48" s="139"/>
      <c r="W48" s="10" t="s">
        <v>391</v>
      </c>
      <c r="X48" s="10">
        <v>1</v>
      </c>
      <c r="Y48" s="139"/>
      <c r="Z48" s="10" t="s">
        <v>390</v>
      </c>
      <c r="AA48" s="10">
        <v>3</v>
      </c>
      <c r="AB48" s="139"/>
      <c r="AC48" s="10" t="s">
        <v>2</v>
      </c>
      <c r="AD48" s="10">
        <v>0</v>
      </c>
      <c r="AE48" s="139"/>
      <c r="AF48" s="10" t="s">
        <v>390</v>
      </c>
      <c r="AG48" s="10">
        <v>3</v>
      </c>
      <c r="AH48" s="139"/>
    </row>
    <row r="49" spans="1:46" x14ac:dyDescent="0.35">
      <c r="A49" s="156"/>
      <c r="B49" s="157"/>
      <c r="C49" s="4" t="s">
        <v>29</v>
      </c>
      <c r="D49" s="7" t="s">
        <v>2</v>
      </c>
      <c r="E49" s="7" t="s">
        <v>2</v>
      </c>
      <c r="F49" s="7">
        <v>0</v>
      </c>
      <c r="G49" s="139"/>
      <c r="H49" s="7" t="s">
        <v>2</v>
      </c>
      <c r="I49" s="7">
        <v>0</v>
      </c>
      <c r="J49" s="139"/>
      <c r="K49" s="7" t="s">
        <v>2</v>
      </c>
      <c r="L49" s="7">
        <v>0</v>
      </c>
      <c r="M49" s="139"/>
      <c r="N49" s="7" t="s">
        <v>2</v>
      </c>
      <c r="O49" s="7">
        <v>0</v>
      </c>
      <c r="P49" s="139"/>
      <c r="Q49" s="7" t="s">
        <v>390</v>
      </c>
      <c r="R49" s="7">
        <v>3</v>
      </c>
      <c r="S49" s="139"/>
      <c r="T49" s="7" t="s">
        <v>390</v>
      </c>
      <c r="U49" s="7">
        <v>3</v>
      </c>
      <c r="V49" s="139"/>
      <c r="W49" s="7" t="s">
        <v>2</v>
      </c>
      <c r="X49" s="7">
        <v>0</v>
      </c>
      <c r="Y49" s="139"/>
      <c r="Z49" s="7" t="s">
        <v>2</v>
      </c>
      <c r="AA49" s="7">
        <v>0</v>
      </c>
      <c r="AB49" s="139"/>
      <c r="AC49" s="7" t="s">
        <v>2</v>
      </c>
      <c r="AD49" s="7">
        <v>0</v>
      </c>
      <c r="AE49" s="139"/>
      <c r="AF49" s="7" t="s">
        <v>2</v>
      </c>
      <c r="AG49" s="7">
        <v>0</v>
      </c>
      <c r="AH49" s="139"/>
    </row>
    <row r="50" spans="1:46" x14ac:dyDescent="0.35">
      <c r="A50" s="156"/>
      <c r="B50" s="157"/>
      <c r="C50" s="4" t="s">
        <v>398</v>
      </c>
      <c r="D50" s="7" t="s">
        <v>2</v>
      </c>
      <c r="E50" s="10" t="s">
        <v>390</v>
      </c>
      <c r="F50" s="10">
        <v>3</v>
      </c>
      <c r="G50" s="141"/>
      <c r="H50" s="10" t="s">
        <v>391</v>
      </c>
      <c r="I50" s="10">
        <v>1</v>
      </c>
      <c r="J50" s="141"/>
      <c r="K50" s="10" t="s">
        <v>30</v>
      </c>
      <c r="L50" s="10">
        <v>0</v>
      </c>
      <c r="M50" s="141"/>
      <c r="N50" s="13" t="s">
        <v>391</v>
      </c>
      <c r="O50" s="13">
        <v>1</v>
      </c>
      <c r="P50" s="141"/>
      <c r="Q50" s="10" t="s">
        <v>30</v>
      </c>
      <c r="R50" s="10">
        <v>0</v>
      </c>
      <c r="S50" s="141"/>
      <c r="T50" s="10" t="s">
        <v>30</v>
      </c>
      <c r="U50" s="10">
        <v>0</v>
      </c>
      <c r="V50" s="141"/>
      <c r="W50" s="10" t="s">
        <v>391</v>
      </c>
      <c r="X50" s="10">
        <v>1</v>
      </c>
      <c r="Y50" s="141"/>
      <c r="Z50" s="7" t="s">
        <v>391</v>
      </c>
      <c r="AA50" s="7">
        <v>1</v>
      </c>
      <c r="AB50" s="141"/>
      <c r="AC50" s="7" t="s">
        <v>2</v>
      </c>
      <c r="AD50" s="7">
        <v>0</v>
      </c>
      <c r="AE50" s="141"/>
      <c r="AF50" s="10" t="s">
        <v>390</v>
      </c>
      <c r="AG50" s="10">
        <v>3</v>
      </c>
      <c r="AH50" s="141"/>
    </row>
    <row r="51" spans="1:46" x14ac:dyDescent="0.35">
      <c r="A51" s="156"/>
      <c r="B51" s="157" t="s">
        <v>355</v>
      </c>
      <c r="C51" s="4" t="s">
        <v>36</v>
      </c>
      <c r="D51" s="7" t="s">
        <v>2</v>
      </c>
      <c r="E51" s="7" t="s">
        <v>2</v>
      </c>
      <c r="F51" s="7">
        <v>0</v>
      </c>
      <c r="G51" s="139">
        <v>0.7</v>
      </c>
      <c r="H51" s="7" t="s">
        <v>390</v>
      </c>
      <c r="I51" s="7">
        <v>3</v>
      </c>
      <c r="J51" s="139">
        <v>1.5</v>
      </c>
      <c r="K51" s="7" t="s">
        <v>2</v>
      </c>
      <c r="L51" s="7">
        <v>0</v>
      </c>
      <c r="M51" s="139">
        <v>0</v>
      </c>
      <c r="N51" s="7" t="s">
        <v>2</v>
      </c>
      <c r="O51" s="7">
        <v>3</v>
      </c>
      <c r="P51" s="139">
        <v>0.7</v>
      </c>
      <c r="Q51" s="7" t="s">
        <v>391</v>
      </c>
      <c r="R51" s="7">
        <v>1</v>
      </c>
      <c r="S51" s="139">
        <v>0.3</v>
      </c>
      <c r="T51" s="7" t="s">
        <v>391</v>
      </c>
      <c r="U51" s="7">
        <v>1</v>
      </c>
      <c r="V51" s="139">
        <v>0.3</v>
      </c>
      <c r="W51" s="7" t="s">
        <v>2</v>
      </c>
      <c r="X51" s="7">
        <v>0</v>
      </c>
      <c r="Y51" s="150">
        <v>0.3</v>
      </c>
      <c r="Z51" s="7" t="s">
        <v>2</v>
      </c>
      <c r="AA51" s="7">
        <v>0</v>
      </c>
      <c r="AB51" s="139">
        <v>0</v>
      </c>
      <c r="AC51" s="7" t="s">
        <v>2</v>
      </c>
      <c r="AD51" s="7">
        <v>0</v>
      </c>
      <c r="AE51" s="139">
        <v>1</v>
      </c>
      <c r="AF51" s="7" t="s">
        <v>2</v>
      </c>
      <c r="AG51" s="10">
        <v>0</v>
      </c>
      <c r="AH51" s="139">
        <v>1</v>
      </c>
    </row>
    <row r="52" spans="1:46" x14ac:dyDescent="0.35">
      <c r="A52" s="156"/>
      <c r="B52" s="157"/>
      <c r="C52" s="4" t="s">
        <v>399</v>
      </c>
      <c r="D52" s="7"/>
      <c r="E52" s="7"/>
      <c r="F52" s="7">
        <v>0</v>
      </c>
      <c r="G52" s="139"/>
      <c r="H52" s="7" t="s">
        <v>391</v>
      </c>
      <c r="I52" s="7">
        <v>1</v>
      </c>
      <c r="J52" s="139"/>
      <c r="K52" s="7"/>
      <c r="L52" s="7">
        <v>0</v>
      </c>
      <c r="M52" s="139"/>
      <c r="N52" s="7"/>
      <c r="O52" s="7">
        <v>0</v>
      </c>
      <c r="P52" s="139"/>
      <c r="Q52" s="7"/>
      <c r="R52" s="7">
        <v>0</v>
      </c>
      <c r="S52" s="139"/>
      <c r="T52" s="7"/>
      <c r="U52" s="7">
        <v>0</v>
      </c>
      <c r="V52" s="139"/>
      <c r="W52" s="7"/>
      <c r="X52" s="7">
        <v>0</v>
      </c>
      <c r="Y52" s="150"/>
      <c r="Z52" s="7"/>
      <c r="AA52" s="7">
        <v>0</v>
      </c>
      <c r="AB52" s="139"/>
      <c r="AC52" s="7"/>
      <c r="AD52" s="7">
        <v>0</v>
      </c>
      <c r="AE52" s="139"/>
      <c r="AF52" s="7"/>
      <c r="AG52" s="10">
        <v>0</v>
      </c>
      <c r="AH52" s="139"/>
    </row>
    <row r="53" spans="1:46" x14ac:dyDescent="0.35">
      <c r="A53" s="156"/>
      <c r="B53" s="157"/>
      <c r="C53" s="4" t="s">
        <v>400</v>
      </c>
      <c r="D53" s="7" t="s">
        <v>2</v>
      </c>
      <c r="E53" s="7" t="s">
        <v>390</v>
      </c>
      <c r="F53" s="7">
        <v>3</v>
      </c>
      <c r="G53" s="139"/>
      <c r="H53" s="7" t="s">
        <v>391</v>
      </c>
      <c r="I53" s="7">
        <v>1</v>
      </c>
      <c r="J53" s="139"/>
      <c r="K53" s="7" t="s">
        <v>2</v>
      </c>
      <c r="L53" s="7">
        <v>0</v>
      </c>
      <c r="M53" s="139"/>
      <c r="N53" s="7" t="s">
        <v>2</v>
      </c>
      <c r="O53" s="7">
        <v>0</v>
      </c>
      <c r="P53" s="139"/>
      <c r="Q53" s="7" t="s">
        <v>2</v>
      </c>
      <c r="R53" s="7">
        <v>0</v>
      </c>
      <c r="S53" s="139"/>
      <c r="T53" s="7" t="s">
        <v>2</v>
      </c>
      <c r="U53" s="7">
        <v>0</v>
      </c>
      <c r="V53" s="139"/>
      <c r="W53" s="10" t="s">
        <v>391</v>
      </c>
      <c r="X53" s="10">
        <v>1</v>
      </c>
      <c r="Y53" s="150"/>
      <c r="Z53" s="10"/>
      <c r="AA53" s="10">
        <v>0</v>
      </c>
      <c r="AB53" s="139"/>
      <c r="AC53" s="7" t="s">
        <v>390</v>
      </c>
      <c r="AD53" s="7">
        <v>3</v>
      </c>
      <c r="AE53" s="139"/>
      <c r="AF53" s="7" t="s">
        <v>2</v>
      </c>
      <c r="AG53" s="10">
        <v>0</v>
      </c>
      <c r="AH53" s="139"/>
    </row>
    <row r="54" spans="1:46" x14ac:dyDescent="0.35">
      <c r="A54" s="156"/>
      <c r="B54" s="157"/>
      <c r="C54" s="4" t="s">
        <v>401</v>
      </c>
      <c r="D54" s="7" t="s">
        <v>2</v>
      </c>
      <c r="E54" s="10" t="s">
        <v>391</v>
      </c>
      <c r="F54" s="10">
        <v>1</v>
      </c>
      <c r="G54" s="139"/>
      <c r="H54" s="10" t="s">
        <v>391</v>
      </c>
      <c r="I54" s="10">
        <v>1</v>
      </c>
      <c r="J54" s="139"/>
      <c r="K54" s="7" t="s">
        <v>2</v>
      </c>
      <c r="L54" s="7">
        <v>0</v>
      </c>
      <c r="M54" s="139"/>
      <c r="N54" s="7" t="s">
        <v>391</v>
      </c>
      <c r="O54" s="7">
        <v>1</v>
      </c>
      <c r="P54" s="139"/>
      <c r="Q54" s="7" t="s">
        <v>2</v>
      </c>
      <c r="R54" s="7">
        <v>0</v>
      </c>
      <c r="S54" s="139"/>
      <c r="T54" s="7" t="s">
        <v>2</v>
      </c>
      <c r="U54" s="7">
        <v>0</v>
      </c>
      <c r="V54" s="139"/>
      <c r="W54" s="10" t="s">
        <v>391</v>
      </c>
      <c r="X54" s="10">
        <v>1</v>
      </c>
      <c r="Y54" s="150"/>
      <c r="Z54" s="7" t="s">
        <v>2</v>
      </c>
      <c r="AA54" s="7">
        <v>0</v>
      </c>
      <c r="AB54" s="139"/>
      <c r="AC54" s="10" t="s">
        <v>390</v>
      </c>
      <c r="AD54" s="10">
        <v>3</v>
      </c>
      <c r="AE54" s="139"/>
      <c r="AF54" s="10" t="s">
        <v>390</v>
      </c>
      <c r="AG54" s="10">
        <v>3</v>
      </c>
      <c r="AH54" s="139"/>
    </row>
    <row r="55" spans="1:46" x14ac:dyDescent="0.35">
      <c r="A55" s="156"/>
      <c r="B55" s="157"/>
      <c r="C55" s="4" t="s">
        <v>442</v>
      </c>
      <c r="D55" s="7" t="s">
        <v>2</v>
      </c>
      <c r="E55" s="7"/>
      <c r="F55" s="7">
        <v>0</v>
      </c>
      <c r="G55" s="139"/>
      <c r="H55" s="7"/>
      <c r="I55" s="7">
        <v>0</v>
      </c>
      <c r="J55" s="139"/>
      <c r="K55" s="10"/>
      <c r="L55" s="10">
        <v>0</v>
      </c>
      <c r="M55" s="139"/>
      <c r="N55" s="7" t="s">
        <v>2</v>
      </c>
      <c r="O55" s="7">
        <v>0</v>
      </c>
      <c r="P55" s="139"/>
      <c r="Q55" s="10" t="s">
        <v>449</v>
      </c>
      <c r="R55" s="10">
        <v>1</v>
      </c>
      <c r="S55" s="139"/>
      <c r="T55" s="10" t="s">
        <v>449</v>
      </c>
      <c r="U55" s="10">
        <v>1</v>
      </c>
      <c r="V55" s="139"/>
      <c r="W55" s="7" t="s">
        <v>2</v>
      </c>
      <c r="X55" s="7">
        <v>0</v>
      </c>
      <c r="Y55" s="150"/>
      <c r="Z55" s="10"/>
      <c r="AA55" s="10">
        <v>0</v>
      </c>
      <c r="AB55" s="139"/>
      <c r="AC55" s="7" t="s">
        <v>2</v>
      </c>
      <c r="AD55" s="7">
        <v>0</v>
      </c>
      <c r="AE55" s="139"/>
      <c r="AF55" s="7" t="s">
        <v>2</v>
      </c>
      <c r="AG55" s="10">
        <v>0</v>
      </c>
      <c r="AH55" s="139"/>
    </row>
    <row r="56" spans="1:46" x14ac:dyDescent="0.35">
      <c r="A56" s="156"/>
      <c r="B56" s="157"/>
      <c r="C56" s="4" t="s">
        <v>403</v>
      </c>
      <c r="D56" s="7" t="s">
        <v>2</v>
      </c>
      <c r="E56" s="7" t="s">
        <v>2</v>
      </c>
      <c r="F56" s="7">
        <v>0</v>
      </c>
      <c r="G56" s="139"/>
      <c r="H56" s="7" t="s">
        <v>390</v>
      </c>
      <c r="I56" s="7">
        <v>3</v>
      </c>
      <c r="J56" s="139"/>
      <c r="K56" s="7" t="s">
        <v>2</v>
      </c>
      <c r="L56" s="7">
        <v>0</v>
      </c>
      <c r="M56" s="139"/>
      <c r="N56" s="7" t="s">
        <v>2</v>
      </c>
      <c r="O56" s="7">
        <v>0</v>
      </c>
      <c r="P56" s="139"/>
      <c r="Q56" s="7" t="s">
        <v>2</v>
      </c>
      <c r="R56" s="7">
        <v>0</v>
      </c>
      <c r="S56" s="139"/>
      <c r="T56" s="7" t="s">
        <v>2</v>
      </c>
      <c r="U56" s="7">
        <v>0</v>
      </c>
      <c r="V56" s="139"/>
      <c r="W56" s="7" t="s">
        <v>2</v>
      </c>
      <c r="X56" s="7">
        <v>0</v>
      </c>
      <c r="Y56" s="150"/>
      <c r="Z56" s="7" t="s">
        <v>2</v>
      </c>
      <c r="AA56" s="7">
        <v>0</v>
      </c>
      <c r="AB56" s="139"/>
      <c r="AC56" s="7" t="s">
        <v>2</v>
      </c>
      <c r="AD56" s="7">
        <v>0</v>
      </c>
      <c r="AE56" s="139"/>
      <c r="AF56" s="7" t="s">
        <v>390</v>
      </c>
      <c r="AG56" s="10">
        <v>3</v>
      </c>
      <c r="AH56" s="139"/>
    </row>
    <row r="57" spans="1:46" x14ac:dyDescent="0.35">
      <c r="A57" s="156"/>
      <c r="B57" s="162" t="s">
        <v>24</v>
      </c>
      <c r="C57" s="4" t="s">
        <v>41</v>
      </c>
      <c r="D57" s="7" t="s">
        <v>2</v>
      </c>
      <c r="E57" s="7" t="s">
        <v>2</v>
      </c>
      <c r="F57" s="7">
        <v>0</v>
      </c>
      <c r="G57" s="150">
        <v>0.8</v>
      </c>
      <c r="H57" s="7" t="s">
        <v>2</v>
      </c>
      <c r="I57" s="7">
        <v>0</v>
      </c>
      <c r="J57" s="150">
        <v>2</v>
      </c>
      <c r="K57" s="7" t="s">
        <v>2</v>
      </c>
      <c r="L57" s="7">
        <v>0</v>
      </c>
      <c r="M57" s="150">
        <v>0.7</v>
      </c>
      <c r="N57" s="7" t="s">
        <v>2</v>
      </c>
      <c r="O57" s="7">
        <v>0</v>
      </c>
      <c r="P57" s="139">
        <v>1.5</v>
      </c>
      <c r="Q57" s="7" t="s">
        <v>390</v>
      </c>
      <c r="R57" s="7">
        <v>3</v>
      </c>
      <c r="S57" s="150">
        <v>1.5</v>
      </c>
      <c r="T57" s="7" t="s">
        <v>390</v>
      </c>
      <c r="U57" s="7">
        <v>3</v>
      </c>
      <c r="V57" s="150">
        <v>1.5</v>
      </c>
      <c r="W57" s="7" t="s">
        <v>2</v>
      </c>
      <c r="X57" s="7">
        <v>0</v>
      </c>
      <c r="Y57" s="150">
        <v>0.5</v>
      </c>
      <c r="Z57" s="7" t="s">
        <v>2</v>
      </c>
      <c r="AA57" s="7">
        <v>0</v>
      </c>
      <c r="AB57" s="150">
        <v>1</v>
      </c>
      <c r="AC57" s="7" t="s">
        <v>2</v>
      </c>
      <c r="AD57" s="7">
        <v>0</v>
      </c>
      <c r="AE57" s="150">
        <v>1.2</v>
      </c>
      <c r="AF57" s="7" t="s">
        <v>2</v>
      </c>
      <c r="AG57" s="7">
        <v>0</v>
      </c>
      <c r="AH57" s="139">
        <v>0.5</v>
      </c>
    </row>
    <row r="58" spans="1:46" x14ac:dyDescent="0.35">
      <c r="A58" s="156"/>
      <c r="B58" s="162"/>
      <c r="C58" s="4" t="s">
        <v>404</v>
      </c>
      <c r="D58" s="7" t="s">
        <v>2</v>
      </c>
      <c r="E58" s="10" t="s">
        <v>391</v>
      </c>
      <c r="F58" s="10">
        <v>1</v>
      </c>
      <c r="G58" s="150"/>
      <c r="H58" s="7" t="s">
        <v>2</v>
      </c>
      <c r="I58" s="7">
        <v>0</v>
      </c>
      <c r="J58" s="150"/>
      <c r="K58" s="7" t="s">
        <v>2</v>
      </c>
      <c r="L58" s="7">
        <v>0</v>
      </c>
      <c r="M58" s="150"/>
      <c r="N58" s="7" t="s">
        <v>2</v>
      </c>
      <c r="O58" s="7">
        <v>0</v>
      </c>
      <c r="P58" s="139"/>
      <c r="Q58" s="10" t="s">
        <v>391</v>
      </c>
      <c r="R58" s="10">
        <v>1</v>
      </c>
      <c r="S58" s="150"/>
      <c r="T58" s="10" t="s">
        <v>391</v>
      </c>
      <c r="U58" s="10">
        <v>1</v>
      </c>
      <c r="V58" s="150"/>
      <c r="W58" s="10" t="s">
        <v>391</v>
      </c>
      <c r="X58" s="10">
        <v>1</v>
      </c>
      <c r="Y58" s="150"/>
      <c r="Z58" s="10" t="s">
        <v>391</v>
      </c>
      <c r="AA58" s="10">
        <v>1</v>
      </c>
      <c r="AB58" s="150"/>
      <c r="AC58" s="10" t="s">
        <v>391</v>
      </c>
      <c r="AD58" s="10">
        <v>1</v>
      </c>
      <c r="AE58" s="150"/>
      <c r="AF58" s="7" t="s">
        <v>2</v>
      </c>
      <c r="AG58" s="7">
        <v>0</v>
      </c>
      <c r="AH58" s="139"/>
    </row>
    <row r="59" spans="1:46" x14ac:dyDescent="0.35">
      <c r="A59" s="156"/>
      <c r="B59" s="162"/>
      <c r="C59" s="4" t="s">
        <v>405</v>
      </c>
      <c r="D59" s="7" t="s">
        <v>2</v>
      </c>
      <c r="E59" s="7" t="s">
        <v>390</v>
      </c>
      <c r="F59" s="7">
        <v>3</v>
      </c>
      <c r="G59" s="150"/>
      <c r="H59" s="10" t="s">
        <v>390</v>
      </c>
      <c r="I59" s="10">
        <v>3</v>
      </c>
      <c r="J59" s="150"/>
      <c r="K59" s="10" t="s">
        <v>390</v>
      </c>
      <c r="L59" s="10">
        <v>3</v>
      </c>
      <c r="M59" s="150"/>
      <c r="N59" s="7" t="s">
        <v>2</v>
      </c>
      <c r="O59" s="7">
        <v>0</v>
      </c>
      <c r="P59" s="139"/>
      <c r="Q59" s="7" t="s">
        <v>391</v>
      </c>
      <c r="R59" s="7">
        <v>1</v>
      </c>
      <c r="S59" s="150"/>
      <c r="T59" s="7" t="s">
        <v>391</v>
      </c>
      <c r="U59" s="7">
        <v>1</v>
      </c>
      <c r="V59" s="150"/>
      <c r="W59" s="10" t="s">
        <v>391</v>
      </c>
      <c r="X59" s="10">
        <v>1</v>
      </c>
      <c r="Y59" s="150"/>
      <c r="Z59" s="10" t="s">
        <v>390</v>
      </c>
      <c r="AA59" s="10">
        <v>3</v>
      </c>
      <c r="AB59" s="150"/>
      <c r="AC59" s="10" t="s">
        <v>390</v>
      </c>
      <c r="AD59" s="10">
        <v>3</v>
      </c>
      <c r="AE59" s="150"/>
      <c r="AF59" s="10" t="s">
        <v>390</v>
      </c>
      <c r="AG59" s="7">
        <v>3</v>
      </c>
      <c r="AH59" s="139"/>
    </row>
    <row r="60" spans="1:46" ht="17.25" thickBot="1" x14ac:dyDescent="0.4">
      <c r="A60" s="156"/>
      <c r="B60" s="162"/>
      <c r="C60" s="4" t="s">
        <v>37</v>
      </c>
      <c r="D60" s="7" t="s">
        <v>2</v>
      </c>
      <c r="E60" s="7" t="s">
        <v>2</v>
      </c>
      <c r="F60" s="7">
        <v>0</v>
      </c>
      <c r="G60" s="150"/>
      <c r="H60" s="7" t="s">
        <v>391</v>
      </c>
      <c r="I60" s="7">
        <v>1</v>
      </c>
      <c r="J60" s="150"/>
      <c r="K60" s="7" t="s">
        <v>2</v>
      </c>
      <c r="L60" s="7">
        <v>0</v>
      </c>
      <c r="M60" s="150"/>
      <c r="N60" s="7" t="s">
        <v>391</v>
      </c>
      <c r="O60" s="7">
        <v>1</v>
      </c>
      <c r="P60" s="139"/>
      <c r="Q60" s="7" t="s">
        <v>391</v>
      </c>
      <c r="R60" s="7">
        <v>1</v>
      </c>
      <c r="S60" s="150"/>
      <c r="T60" s="7" t="s">
        <v>391</v>
      </c>
      <c r="U60" s="7">
        <v>1</v>
      </c>
      <c r="V60" s="150"/>
      <c r="W60" s="7" t="s">
        <v>2</v>
      </c>
      <c r="X60" s="7">
        <v>0</v>
      </c>
      <c r="Y60" s="150"/>
      <c r="Z60" s="7" t="s">
        <v>391</v>
      </c>
      <c r="AA60" s="7">
        <v>1</v>
      </c>
      <c r="AB60" s="150"/>
      <c r="AC60" s="7" t="s">
        <v>2</v>
      </c>
      <c r="AD60" s="7">
        <v>0</v>
      </c>
      <c r="AE60" s="150"/>
      <c r="AF60" s="7" t="s">
        <v>2</v>
      </c>
      <c r="AG60" s="7">
        <v>0</v>
      </c>
      <c r="AH60" s="139"/>
    </row>
    <row r="61" spans="1:46" ht="33" x14ac:dyDescent="0.35">
      <c r="A61" s="156"/>
      <c r="B61" s="162"/>
      <c r="C61" s="4" t="s">
        <v>435</v>
      </c>
      <c r="D61" s="7" t="s">
        <v>2</v>
      </c>
      <c r="E61" s="7" t="s">
        <v>391</v>
      </c>
      <c r="F61" s="7">
        <v>1</v>
      </c>
      <c r="G61" s="150"/>
      <c r="H61" s="10" t="s">
        <v>390</v>
      </c>
      <c r="I61" s="10">
        <v>3</v>
      </c>
      <c r="J61" s="150"/>
      <c r="K61" s="10" t="s">
        <v>391</v>
      </c>
      <c r="L61" s="10">
        <v>1</v>
      </c>
      <c r="M61" s="150"/>
      <c r="N61" s="7" t="s">
        <v>390</v>
      </c>
      <c r="O61" s="7">
        <v>3</v>
      </c>
      <c r="P61" s="139"/>
      <c r="Q61" s="7" t="s">
        <v>390</v>
      </c>
      <c r="R61" s="7">
        <v>3</v>
      </c>
      <c r="S61" s="150"/>
      <c r="T61" s="7" t="s">
        <v>390</v>
      </c>
      <c r="U61" s="7">
        <v>3</v>
      </c>
      <c r="V61" s="150"/>
      <c r="W61" s="10" t="s">
        <v>391</v>
      </c>
      <c r="X61" s="10">
        <v>1</v>
      </c>
      <c r="Y61" s="150"/>
      <c r="Z61" s="10" t="s">
        <v>391</v>
      </c>
      <c r="AA61" s="10">
        <v>1</v>
      </c>
      <c r="AB61" s="150"/>
      <c r="AC61" s="10" t="s">
        <v>390</v>
      </c>
      <c r="AD61" s="10">
        <v>3</v>
      </c>
      <c r="AE61" s="150"/>
      <c r="AF61" s="10" t="s">
        <v>390</v>
      </c>
      <c r="AG61" s="7">
        <v>0</v>
      </c>
      <c r="AH61" s="139"/>
      <c r="AJ61" s="51"/>
      <c r="AK61" s="45" t="s">
        <v>63</v>
      </c>
      <c r="AL61" s="45" t="s">
        <v>64</v>
      </c>
      <c r="AM61" s="45" t="s">
        <v>65</v>
      </c>
      <c r="AN61" s="45" t="s">
        <v>66</v>
      </c>
      <c r="AO61" s="45" t="s">
        <v>67</v>
      </c>
      <c r="AP61" s="45" t="s">
        <v>68</v>
      </c>
      <c r="AQ61" s="45" t="s">
        <v>69</v>
      </c>
      <c r="AR61" s="45" t="s">
        <v>70</v>
      </c>
      <c r="AS61" s="45" t="s">
        <v>71</v>
      </c>
      <c r="AT61" s="46" t="s">
        <v>72</v>
      </c>
    </row>
    <row r="62" spans="1:46" ht="49.5" x14ac:dyDescent="0.35">
      <c r="A62" s="156"/>
      <c r="B62" s="162"/>
      <c r="C62" s="16" t="s">
        <v>438</v>
      </c>
      <c r="D62" s="7" t="s">
        <v>2</v>
      </c>
      <c r="E62" s="7" t="s">
        <v>2</v>
      </c>
      <c r="F62" s="7">
        <v>0</v>
      </c>
      <c r="G62" s="151"/>
      <c r="H62" s="17" t="s">
        <v>439</v>
      </c>
      <c r="I62" s="7">
        <v>5</v>
      </c>
      <c r="J62" s="151"/>
      <c r="K62" s="7" t="s">
        <v>2</v>
      </c>
      <c r="L62" s="7">
        <v>0</v>
      </c>
      <c r="M62" s="151"/>
      <c r="N62" s="11" t="s">
        <v>440</v>
      </c>
      <c r="O62" s="7">
        <v>5</v>
      </c>
      <c r="P62" s="141"/>
      <c r="Q62" s="7" t="s">
        <v>2</v>
      </c>
      <c r="R62" s="7">
        <v>0</v>
      </c>
      <c r="S62" s="151"/>
      <c r="T62" s="7" t="s">
        <v>2</v>
      </c>
      <c r="U62" s="7">
        <v>0</v>
      </c>
      <c r="V62" s="151"/>
      <c r="W62" s="7" t="s">
        <v>2</v>
      </c>
      <c r="X62" s="7">
        <v>0</v>
      </c>
      <c r="Y62" s="151"/>
      <c r="Z62" s="7" t="s">
        <v>2</v>
      </c>
      <c r="AA62" s="7">
        <v>0</v>
      </c>
      <c r="AB62" s="151"/>
      <c r="AC62" s="7" t="s">
        <v>2</v>
      </c>
      <c r="AD62" s="7">
        <v>0</v>
      </c>
      <c r="AE62" s="151"/>
      <c r="AF62" s="7" t="s">
        <v>2</v>
      </c>
      <c r="AG62" s="7">
        <v>0</v>
      </c>
      <c r="AH62" s="141"/>
      <c r="AJ62" s="47" t="s">
        <v>350</v>
      </c>
      <c r="AK62" s="9">
        <v>1</v>
      </c>
      <c r="AL62" s="9">
        <v>1</v>
      </c>
      <c r="AM62" s="9">
        <v>3</v>
      </c>
      <c r="AN62" s="9">
        <v>1</v>
      </c>
      <c r="AO62" s="9">
        <v>1</v>
      </c>
      <c r="AP62" s="9">
        <v>1</v>
      </c>
      <c r="AQ62" s="9">
        <v>2.2999999999999998</v>
      </c>
      <c r="AR62" s="9">
        <v>1</v>
      </c>
      <c r="AS62" s="9">
        <v>1</v>
      </c>
      <c r="AT62" s="48">
        <v>2</v>
      </c>
    </row>
    <row r="63" spans="1:46" ht="66" x14ac:dyDescent="0.35">
      <c r="A63" s="156"/>
      <c r="B63" s="149" t="s">
        <v>361</v>
      </c>
      <c r="C63" s="4" t="s">
        <v>436</v>
      </c>
      <c r="D63" s="7" t="s">
        <v>2</v>
      </c>
      <c r="E63" s="13" t="s">
        <v>450</v>
      </c>
      <c r="F63" s="12">
        <v>3</v>
      </c>
      <c r="G63" s="139">
        <v>1.3</v>
      </c>
      <c r="H63" s="12" t="s">
        <v>451</v>
      </c>
      <c r="I63" s="12">
        <v>1</v>
      </c>
      <c r="J63" s="139">
        <v>1.5</v>
      </c>
      <c r="K63" s="12" t="s">
        <v>452</v>
      </c>
      <c r="L63" s="12">
        <v>1</v>
      </c>
      <c r="M63" s="139">
        <v>0.8</v>
      </c>
      <c r="N63" s="7" t="s">
        <v>391</v>
      </c>
      <c r="O63" s="7">
        <v>1</v>
      </c>
      <c r="P63" s="139">
        <v>1.3</v>
      </c>
      <c r="Q63" s="7" t="s">
        <v>2</v>
      </c>
      <c r="R63" s="7">
        <v>0</v>
      </c>
      <c r="S63" s="139">
        <v>1</v>
      </c>
      <c r="T63" s="7" t="s">
        <v>2</v>
      </c>
      <c r="U63" s="7">
        <v>0</v>
      </c>
      <c r="V63" s="139">
        <v>1</v>
      </c>
      <c r="W63" s="12" t="s">
        <v>453</v>
      </c>
      <c r="X63" s="12">
        <v>1</v>
      </c>
      <c r="Y63" s="139">
        <v>1</v>
      </c>
      <c r="Z63" s="12" t="s">
        <v>454</v>
      </c>
      <c r="AA63" s="12">
        <v>3</v>
      </c>
      <c r="AB63" s="139">
        <v>2</v>
      </c>
      <c r="AC63" s="13" t="s">
        <v>450</v>
      </c>
      <c r="AD63" s="12">
        <v>3</v>
      </c>
      <c r="AE63" s="139">
        <v>0.8</v>
      </c>
      <c r="AF63" s="7"/>
      <c r="AG63" s="7">
        <v>0</v>
      </c>
      <c r="AH63" s="139">
        <v>0.8</v>
      </c>
      <c r="AJ63" s="47" t="s">
        <v>333</v>
      </c>
      <c r="AK63" s="9">
        <v>1</v>
      </c>
      <c r="AL63" s="9">
        <v>1.9</v>
      </c>
      <c r="AM63" s="9">
        <v>0.9</v>
      </c>
      <c r="AN63" s="9">
        <v>1.4</v>
      </c>
      <c r="AO63" s="9">
        <v>1</v>
      </c>
      <c r="AP63" s="9">
        <v>1</v>
      </c>
      <c r="AQ63" s="9">
        <v>0.9</v>
      </c>
      <c r="AR63" s="9">
        <v>1.6</v>
      </c>
      <c r="AS63" s="9">
        <v>0.4</v>
      </c>
      <c r="AT63" s="48">
        <v>1.3</v>
      </c>
    </row>
    <row r="64" spans="1:46" x14ac:dyDescent="0.35">
      <c r="A64" s="156"/>
      <c r="B64" s="149"/>
      <c r="C64" s="4" t="s">
        <v>406</v>
      </c>
      <c r="D64" s="7" t="s">
        <v>2</v>
      </c>
      <c r="E64" s="7" t="s">
        <v>2</v>
      </c>
      <c r="F64" s="7">
        <v>0</v>
      </c>
      <c r="G64" s="139"/>
      <c r="H64" s="10" t="s">
        <v>390</v>
      </c>
      <c r="I64" s="10">
        <v>3</v>
      </c>
      <c r="J64" s="139"/>
      <c r="K64" s="7" t="s">
        <v>2</v>
      </c>
      <c r="L64" s="7">
        <v>0</v>
      </c>
      <c r="M64" s="139"/>
      <c r="N64" s="10" t="s">
        <v>390</v>
      </c>
      <c r="O64" s="10">
        <v>3</v>
      </c>
      <c r="P64" s="139"/>
      <c r="Q64" s="10" t="s">
        <v>390</v>
      </c>
      <c r="R64" s="10">
        <v>3</v>
      </c>
      <c r="S64" s="139"/>
      <c r="T64" s="10" t="s">
        <v>390</v>
      </c>
      <c r="U64" s="10">
        <v>3</v>
      </c>
      <c r="V64" s="139"/>
      <c r="W64" s="10" t="s">
        <v>391</v>
      </c>
      <c r="X64" s="10">
        <v>1</v>
      </c>
      <c r="Y64" s="139"/>
      <c r="Z64" s="10" t="s">
        <v>390</v>
      </c>
      <c r="AA64" s="10">
        <v>3</v>
      </c>
      <c r="AB64" s="139"/>
      <c r="AC64" s="7" t="s">
        <v>2</v>
      </c>
      <c r="AD64" s="7">
        <v>0</v>
      </c>
      <c r="AE64" s="139"/>
      <c r="AF64" s="7" t="s">
        <v>2</v>
      </c>
      <c r="AG64" s="10">
        <v>0</v>
      </c>
      <c r="AH64" s="139"/>
      <c r="AJ64" s="47" t="s">
        <v>355</v>
      </c>
      <c r="AK64" s="18">
        <v>0.7</v>
      </c>
      <c r="AL64" s="18">
        <v>1.5</v>
      </c>
      <c r="AM64" s="18">
        <v>0</v>
      </c>
      <c r="AN64" s="18">
        <v>0.7</v>
      </c>
      <c r="AO64" s="18">
        <v>0.3</v>
      </c>
      <c r="AP64" s="18">
        <v>0.3</v>
      </c>
      <c r="AQ64" s="18">
        <v>0.3</v>
      </c>
      <c r="AR64" s="18">
        <v>0</v>
      </c>
      <c r="AS64" s="18">
        <v>1</v>
      </c>
      <c r="AT64" s="75">
        <v>1</v>
      </c>
    </row>
    <row r="65" spans="1:46" x14ac:dyDescent="0.35">
      <c r="A65" s="156"/>
      <c r="B65" s="149"/>
      <c r="C65" s="4" t="s">
        <v>437</v>
      </c>
      <c r="D65" s="7" t="s">
        <v>2</v>
      </c>
      <c r="E65" s="7" t="s">
        <v>391</v>
      </c>
      <c r="F65" s="7">
        <v>1</v>
      </c>
      <c r="G65" s="139"/>
      <c r="H65" s="10" t="s">
        <v>391</v>
      </c>
      <c r="I65" s="10">
        <v>1</v>
      </c>
      <c r="J65" s="139"/>
      <c r="K65" s="10" t="s">
        <v>391</v>
      </c>
      <c r="L65" s="10">
        <v>1</v>
      </c>
      <c r="M65" s="139"/>
      <c r="N65" s="10" t="s">
        <v>391</v>
      </c>
      <c r="O65" s="10">
        <v>1</v>
      </c>
      <c r="P65" s="139"/>
      <c r="Q65" s="10" t="s">
        <v>391</v>
      </c>
      <c r="R65" s="10">
        <v>1</v>
      </c>
      <c r="S65" s="139"/>
      <c r="T65" s="10" t="s">
        <v>391</v>
      </c>
      <c r="U65" s="10">
        <v>1</v>
      </c>
      <c r="V65" s="139"/>
      <c r="W65" s="10" t="s">
        <v>391</v>
      </c>
      <c r="X65" s="10">
        <v>1</v>
      </c>
      <c r="Y65" s="139"/>
      <c r="Z65" s="10" t="s">
        <v>391</v>
      </c>
      <c r="AA65" s="10">
        <v>1</v>
      </c>
      <c r="AB65" s="139"/>
      <c r="AC65" s="7" t="s">
        <v>2</v>
      </c>
      <c r="AD65" s="7">
        <v>0</v>
      </c>
      <c r="AE65" s="139"/>
      <c r="AF65" s="7" t="s">
        <v>390</v>
      </c>
      <c r="AG65" s="10">
        <v>3</v>
      </c>
      <c r="AH65" s="139"/>
      <c r="AJ65" s="47" t="s">
        <v>24</v>
      </c>
      <c r="AK65" s="9">
        <v>0.8</v>
      </c>
      <c r="AL65" s="9">
        <v>2</v>
      </c>
      <c r="AM65" s="9">
        <v>0.7</v>
      </c>
      <c r="AN65" s="9">
        <v>1.5</v>
      </c>
      <c r="AO65" s="9">
        <v>1.5</v>
      </c>
      <c r="AP65" s="9">
        <v>1.5</v>
      </c>
      <c r="AQ65" s="9">
        <v>0.5</v>
      </c>
      <c r="AR65" s="9">
        <v>1</v>
      </c>
      <c r="AS65" s="9">
        <v>1.2</v>
      </c>
      <c r="AT65" s="48">
        <v>0.5</v>
      </c>
    </row>
    <row r="66" spans="1:46" ht="17.25" thickBot="1" x14ac:dyDescent="0.4">
      <c r="A66" s="156"/>
      <c r="B66" s="149"/>
      <c r="C66" s="4" t="s">
        <v>407</v>
      </c>
      <c r="D66" s="7" t="s">
        <v>2</v>
      </c>
      <c r="E66" s="7" t="s">
        <v>391</v>
      </c>
      <c r="F66" s="7">
        <v>1</v>
      </c>
      <c r="G66" s="139"/>
      <c r="H66" s="12" t="s">
        <v>89</v>
      </c>
      <c r="I66" s="12">
        <v>1</v>
      </c>
      <c r="J66" s="139"/>
      <c r="K66" s="12" t="s">
        <v>90</v>
      </c>
      <c r="L66" s="12">
        <v>1</v>
      </c>
      <c r="M66" s="139"/>
      <c r="N66" s="7" t="s">
        <v>2</v>
      </c>
      <c r="O66" s="7">
        <v>0</v>
      </c>
      <c r="P66" s="139"/>
      <c r="Q66" s="7" t="s">
        <v>2</v>
      </c>
      <c r="R66" s="7">
        <v>0</v>
      </c>
      <c r="S66" s="139"/>
      <c r="T66" s="7" t="s">
        <v>2</v>
      </c>
      <c r="U66" s="7">
        <v>0</v>
      </c>
      <c r="V66" s="139"/>
      <c r="W66" s="7" t="s">
        <v>91</v>
      </c>
      <c r="X66" s="7">
        <v>1</v>
      </c>
      <c r="Y66" s="139"/>
      <c r="Z66" s="7" t="s">
        <v>391</v>
      </c>
      <c r="AA66" s="7">
        <v>1</v>
      </c>
      <c r="AB66" s="139"/>
      <c r="AC66" s="7" t="s">
        <v>2</v>
      </c>
      <c r="AD66" s="7">
        <v>0</v>
      </c>
      <c r="AE66" s="139"/>
      <c r="AF66" s="7" t="s">
        <v>2</v>
      </c>
      <c r="AG66" s="10">
        <v>0</v>
      </c>
      <c r="AH66" s="139"/>
      <c r="AJ66" s="49" t="s">
        <v>361</v>
      </c>
      <c r="AK66" s="27">
        <v>1.3</v>
      </c>
      <c r="AL66" s="27">
        <v>1.5</v>
      </c>
      <c r="AM66" s="27">
        <v>0.8</v>
      </c>
      <c r="AN66" s="27">
        <v>1.3</v>
      </c>
      <c r="AO66" s="27">
        <v>1</v>
      </c>
      <c r="AP66" s="27">
        <v>1</v>
      </c>
      <c r="AQ66" s="27">
        <v>1</v>
      </c>
      <c r="AR66" s="27">
        <v>2</v>
      </c>
      <c r="AS66" s="27">
        <v>0.8</v>
      </c>
      <c r="AT66" s="50">
        <v>0.8</v>
      </c>
    </row>
    <row r="67" spans="1:46" x14ac:dyDescent="0.35">
      <c r="A67" s="156" t="s">
        <v>408</v>
      </c>
      <c r="B67" s="4" t="s">
        <v>409</v>
      </c>
      <c r="C67" s="4"/>
      <c r="D67" s="7"/>
      <c r="E67" s="7"/>
      <c r="F67" s="7"/>
      <c r="G67" s="7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J67" s="60" t="s">
        <v>382</v>
      </c>
      <c r="AK67" s="60">
        <v>0.96</v>
      </c>
      <c r="AL67" s="60">
        <v>1.58</v>
      </c>
      <c r="AM67" s="60">
        <v>1.08</v>
      </c>
      <c r="AN67" s="60">
        <v>1.18</v>
      </c>
      <c r="AO67" s="60">
        <v>0.96</v>
      </c>
      <c r="AP67" s="60">
        <v>0.96</v>
      </c>
      <c r="AQ67" s="60">
        <v>1</v>
      </c>
      <c r="AR67" s="60">
        <v>1.1200000000000001</v>
      </c>
      <c r="AS67" s="60">
        <v>0.88</v>
      </c>
      <c r="AT67" s="60">
        <v>1.1200000000000001</v>
      </c>
    </row>
    <row r="68" spans="1:46" ht="33" x14ac:dyDescent="0.35">
      <c r="A68" s="156"/>
      <c r="B68" s="4" t="s">
        <v>410</v>
      </c>
      <c r="C68" s="4"/>
      <c r="D68" s="7"/>
      <c r="E68" s="7"/>
      <c r="F68" s="7"/>
      <c r="G68" s="7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spans="1:46" ht="33" x14ac:dyDescent="0.35">
      <c r="A69" s="156"/>
      <c r="B69" s="4" t="s">
        <v>411</v>
      </c>
      <c r="C69" s="4"/>
      <c r="D69" s="7"/>
      <c r="E69" s="7"/>
      <c r="F69" s="7"/>
      <c r="G69" s="7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 spans="1:46" ht="33" x14ac:dyDescent="0.35">
      <c r="A70" s="156"/>
      <c r="B70" s="4" t="s">
        <v>412</v>
      </c>
      <c r="C70" s="4"/>
      <c r="D70" s="7"/>
      <c r="E70" s="7"/>
      <c r="F70" s="7"/>
      <c r="G70" s="7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 spans="1:46" ht="33" x14ac:dyDescent="0.35">
      <c r="A71" s="156"/>
      <c r="B71" s="4" t="s">
        <v>413</v>
      </c>
      <c r="C71" s="4"/>
      <c r="D71" s="7"/>
      <c r="E71" s="7"/>
      <c r="F71" s="7"/>
      <c r="G71" s="7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 spans="1:46" x14ac:dyDescent="0.35">
      <c r="A72" s="156"/>
      <c r="B72" s="4" t="s">
        <v>414</v>
      </c>
      <c r="C72" s="4"/>
      <c r="D72" s="7"/>
      <c r="E72" s="7"/>
      <c r="F72" s="7"/>
      <c r="G72" s="7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</sheetData>
  <mergeCells count="169">
    <mergeCell ref="A67:A72"/>
    <mergeCell ref="B63:B66"/>
    <mergeCell ref="A41:A66"/>
    <mergeCell ref="B41:B43"/>
    <mergeCell ref="B44:B50"/>
    <mergeCell ref="B51:B56"/>
    <mergeCell ref="A2:A40"/>
    <mergeCell ref="B2:B5"/>
    <mergeCell ref="B6:B9"/>
    <mergeCell ref="B10:B15"/>
    <mergeCell ref="B16:B17"/>
    <mergeCell ref="B18:B20"/>
    <mergeCell ref="B21:B29"/>
    <mergeCell ref="B30:B33"/>
    <mergeCell ref="B57:B62"/>
    <mergeCell ref="B34:B35"/>
    <mergeCell ref="B36:B37"/>
    <mergeCell ref="B38:B40"/>
    <mergeCell ref="G51:G56"/>
    <mergeCell ref="G57:G62"/>
    <mergeCell ref="G63:G66"/>
    <mergeCell ref="I1:J1"/>
    <mergeCell ref="J2:J5"/>
    <mergeCell ref="J6:J9"/>
    <mergeCell ref="J10:J15"/>
    <mergeCell ref="J16:J17"/>
    <mergeCell ref="J21:J29"/>
    <mergeCell ref="J30:J33"/>
    <mergeCell ref="J34:J35"/>
    <mergeCell ref="J36:J37"/>
    <mergeCell ref="J38:J40"/>
    <mergeCell ref="J41:J43"/>
    <mergeCell ref="J44:J50"/>
    <mergeCell ref="J51:J56"/>
    <mergeCell ref="G34:G35"/>
    <mergeCell ref="G36:G37"/>
    <mergeCell ref="G38:G40"/>
    <mergeCell ref="G41:G43"/>
    <mergeCell ref="G44:G50"/>
    <mergeCell ref="G21:G29"/>
    <mergeCell ref="G30:G33"/>
    <mergeCell ref="F1:G1"/>
    <mergeCell ref="J57:J62"/>
    <mergeCell ref="J63:J66"/>
    <mergeCell ref="L1:M1"/>
    <mergeCell ref="M2:M5"/>
    <mergeCell ref="M6:M9"/>
    <mergeCell ref="M10:M15"/>
    <mergeCell ref="M16:M17"/>
    <mergeCell ref="M21:M29"/>
    <mergeCell ref="M30:M33"/>
    <mergeCell ref="M34:M35"/>
    <mergeCell ref="M36:M37"/>
    <mergeCell ref="M38:M40"/>
    <mergeCell ref="M41:M43"/>
    <mergeCell ref="M44:M50"/>
    <mergeCell ref="M51:M56"/>
    <mergeCell ref="M57:M62"/>
    <mergeCell ref="M63:M66"/>
    <mergeCell ref="G2:G5"/>
    <mergeCell ref="G6:G9"/>
    <mergeCell ref="G10:G15"/>
    <mergeCell ref="G16:G17"/>
    <mergeCell ref="P51:P56"/>
    <mergeCell ref="P57:P62"/>
    <mergeCell ref="P63:P66"/>
    <mergeCell ref="R1:S1"/>
    <mergeCell ref="S2:S5"/>
    <mergeCell ref="S6:S9"/>
    <mergeCell ref="S10:S15"/>
    <mergeCell ref="S16:S17"/>
    <mergeCell ref="S21:S29"/>
    <mergeCell ref="S30:S33"/>
    <mergeCell ref="S34:S35"/>
    <mergeCell ref="S36:S37"/>
    <mergeCell ref="S38:S40"/>
    <mergeCell ref="S41:S43"/>
    <mergeCell ref="S44:S50"/>
    <mergeCell ref="S51:S56"/>
    <mergeCell ref="S57:S62"/>
    <mergeCell ref="S63:S66"/>
    <mergeCell ref="O1:P1"/>
    <mergeCell ref="P2:P5"/>
    <mergeCell ref="P38:P40"/>
    <mergeCell ref="P41:P43"/>
    <mergeCell ref="P44:P50"/>
    <mergeCell ref="P30:P33"/>
    <mergeCell ref="P34:P35"/>
    <mergeCell ref="P36:P37"/>
    <mergeCell ref="AA1:AB1"/>
    <mergeCell ref="AB2:AB5"/>
    <mergeCell ref="AB6:AB9"/>
    <mergeCell ref="AB10:AB15"/>
    <mergeCell ref="AB16:AB17"/>
    <mergeCell ref="AB41:AB43"/>
    <mergeCell ref="AB44:AB50"/>
    <mergeCell ref="V2:V5"/>
    <mergeCell ref="V6:V9"/>
    <mergeCell ref="P6:P9"/>
    <mergeCell ref="P10:P15"/>
    <mergeCell ref="P16:P17"/>
    <mergeCell ref="P21:P29"/>
    <mergeCell ref="V10:V15"/>
    <mergeCell ref="V16:V17"/>
    <mergeCell ref="V21:V29"/>
    <mergeCell ref="V30:V33"/>
    <mergeCell ref="V34:V35"/>
    <mergeCell ref="V63:V66"/>
    <mergeCell ref="X1:Y1"/>
    <mergeCell ref="Y2:Y5"/>
    <mergeCell ref="Y6:Y9"/>
    <mergeCell ref="Y10:Y15"/>
    <mergeCell ref="Y16:Y17"/>
    <mergeCell ref="Y21:Y29"/>
    <mergeCell ref="Y30:Y33"/>
    <mergeCell ref="Y34:Y35"/>
    <mergeCell ref="Y36:Y37"/>
    <mergeCell ref="Y38:Y40"/>
    <mergeCell ref="Y41:Y43"/>
    <mergeCell ref="Y44:Y50"/>
    <mergeCell ref="Y51:Y56"/>
    <mergeCell ref="Y57:Y62"/>
    <mergeCell ref="Y63:Y66"/>
    <mergeCell ref="V38:V40"/>
    <mergeCell ref="V41:V43"/>
    <mergeCell ref="V44:V50"/>
    <mergeCell ref="V51:V56"/>
    <mergeCell ref="V57:V62"/>
    <mergeCell ref="U1:V1"/>
    <mergeCell ref="V36:V37"/>
    <mergeCell ref="AB63:AB66"/>
    <mergeCell ref="AB21:AB29"/>
    <mergeCell ref="AB30:AB33"/>
    <mergeCell ref="AB34:AB35"/>
    <mergeCell ref="AB36:AB37"/>
    <mergeCell ref="AB38:AB40"/>
    <mergeCell ref="AE63:AE66"/>
    <mergeCell ref="AE21:AE29"/>
    <mergeCell ref="AE30:AE33"/>
    <mergeCell ref="AE34:AE35"/>
    <mergeCell ref="AE36:AE37"/>
    <mergeCell ref="AE38:AE40"/>
    <mergeCell ref="AE41:AE43"/>
    <mergeCell ref="AE44:AE50"/>
    <mergeCell ref="AE51:AE56"/>
    <mergeCell ref="AE57:AE62"/>
    <mergeCell ref="AB51:AB56"/>
    <mergeCell ref="AB57:AB62"/>
    <mergeCell ref="AD1:AE1"/>
    <mergeCell ref="AE2:AE5"/>
    <mergeCell ref="AE6:AE9"/>
    <mergeCell ref="AE10:AE15"/>
    <mergeCell ref="AE16:AE17"/>
    <mergeCell ref="AG1:AH1"/>
    <mergeCell ref="AH2:AH5"/>
    <mergeCell ref="AH6:AH9"/>
    <mergeCell ref="AH10:AH15"/>
    <mergeCell ref="AH16:AH17"/>
    <mergeCell ref="AH63:AH66"/>
    <mergeCell ref="AH38:AH40"/>
    <mergeCell ref="AH41:AH43"/>
    <mergeCell ref="AH44:AH50"/>
    <mergeCell ref="AH51:AH56"/>
    <mergeCell ref="AH57:AH62"/>
    <mergeCell ref="AH18:AH20"/>
    <mergeCell ref="AH21:AH29"/>
    <mergeCell ref="AH30:AH33"/>
    <mergeCell ref="AH34:AH35"/>
    <mergeCell ref="AH36:AH37"/>
  </mergeCells>
  <phoneticPr fontId="10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767E-9F65-488A-B146-B0DB930E8876}">
  <dimension ref="A1:AQ86"/>
  <sheetViews>
    <sheetView zoomScaleNormal="100" workbookViewId="0">
      <pane xSplit="7" ySplit="1" topLeftCell="Y21" activePane="bottomRight" state="frozen"/>
      <selection pane="topRight" activeCell="K1" sqref="K1"/>
      <selection pane="bottomLeft" activeCell="A2" sqref="A2"/>
      <selection pane="bottomRight" activeCell="C86" sqref="C86"/>
    </sheetView>
  </sheetViews>
  <sheetFormatPr defaultColWidth="9" defaultRowHeight="16.5" x14ac:dyDescent="0.35"/>
  <cols>
    <col min="1" max="2" width="9" style="9"/>
    <col min="3" max="3" width="23.42578125" style="9" bestFit="1" customWidth="1"/>
    <col min="4" max="4" width="9" style="14"/>
    <col min="5" max="5" width="13.140625" style="14" bestFit="1" customWidth="1"/>
    <col min="6" max="6" width="4.42578125" style="14" bestFit="1" customWidth="1"/>
    <col min="7" max="7" width="4.42578125" style="14" customWidth="1"/>
    <col min="8" max="8" width="13" style="9" bestFit="1" customWidth="1"/>
    <col min="9" max="9" width="4.42578125" style="14" bestFit="1" customWidth="1"/>
    <col min="10" max="10" width="4.42578125" style="14" customWidth="1"/>
    <col min="11" max="11" width="13" style="9" bestFit="1" customWidth="1"/>
    <col min="12" max="12" width="4.42578125" style="14" bestFit="1" customWidth="1"/>
    <col min="13" max="13" width="4.42578125" style="14" customWidth="1"/>
    <col min="14" max="14" width="11.5703125" style="9" bestFit="1" customWidth="1"/>
    <col min="15" max="15" width="4.42578125" style="9" bestFit="1" customWidth="1"/>
    <col min="16" max="16" width="4.42578125" style="14" customWidth="1"/>
    <col min="17" max="17" width="12" style="9" bestFit="1" customWidth="1"/>
    <col min="18" max="18" width="4.42578125" style="9" bestFit="1" customWidth="1"/>
    <col min="19" max="19" width="4.42578125" style="14" customWidth="1"/>
    <col min="20" max="20" width="12" style="9" bestFit="1" customWidth="1"/>
    <col min="21" max="21" width="4.42578125" style="9" bestFit="1" customWidth="1"/>
    <col min="22" max="22" width="4.42578125" style="14" customWidth="1"/>
    <col min="23" max="23" width="12.5703125" style="9" bestFit="1" customWidth="1"/>
    <col min="24" max="24" width="4.42578125" style="9" bestFit="1" customWidth="1"/>
    <col min="25" max="25" width="4.42578125" style="14" customWidth="1"/>
    <col min="26" max="26" width="13.140625" style="9" bestFit="1" customWidth="1"/>
    <col min="27" max="27" width="4.42578125" style="9" bestFit="1" customWidth="1"/>
    <col min="28" max="28" width="4.42578125" style="14" customWidth="1"/>
    <col min="29" max="29" width="13.140625" style="9" bestFit="1" customWidth="1"/>
    <col min="30" max="30" width="4.42578125" style="9" bestFit="1" customWidth="1"/>
    <col min="31" max="31" width="4.42578125" style="14" customWidth="1"/>
    <col min="32" max="32" width="9" style="9"/>
    <col min="33" max="33" width="9.42578125" style="9" customWidth="1"/>
    <col min="34" max="34" width="12" style="9" customWidth="1"/>
    <col min="35" max="16384" width="9" style="9"/>
  </cols>
  <sheetData>
    <row r="1" spans="1:33" ht="33" x14ac:dyDescent="0.35">
      <c r="A1" s="3" t="s">
        <v>313</v>
      </c>
      <c r="B1" s="3" t="s">
        <v>314</v>
      </c>
      <c r="C1" s="3" t="s">
        <v>315</v>
      </c>
      <c r="D1" s="3" t="s">
        <v>316</v>
      </c>
      <c r="E1" s="3" t="s">
        <v>92</v>
      </c>
      <c r="F1" s="168" t="s">
        <v>317</v>
      </c>
      <c r="G1" s="168"/>
      <c r="H1" s="3" t="s">
        <v>93</v>
      </c>
      <c r="I1" s="168" t="s">
        <v>317</v>
      </c>
      <c r="J1" s="168"/>
      <c r="K1" s="3" t="s">
        <v>94</v>
      </c>
      <c r="L1" s="168" t="s">
        <v>317</v>
      </c>
      <c r="M1" s="168"/>
      <c r="N1" s="3" t="s">
        <v>95</v>
      </c>
      <c r="O1" s="168" t="s">
        <v>317</v>
      </c>
      <c r="P1" s="168"/>
      <c r="Q1" s="3" t="s">
        <v>96</v>
      </c>
      <c r="R1" s="145" t="s">
        <v>317</v>
      </c>
      <c r="S1" s="146"/>
      <c r="T1" s="3" t="s">
        <v>97</v>
      </c>
      <c r="U1" s="145" t="s">
        <v>317</v>
      </c>
      <c r="V1" s="146"/>
      <c r="W1" s="3" t="s">
        <v>98</v>
      </c>
      <c r="X1" s="145" t="s">
        <v>317</v>
      </c>
      <c r="Y1" s="146"/>
      <c r="Z1" s="3" t="s">
        <v>99</v>
      </c>
      <c r="AA1" s="145" t="s">
        <v>317</v>
      </c>
      <c r="AB1" s="146"/>
      <c r="AC1" s="3" t="s">
        <v>100</v>
      </c>
      <c r="AD1" s="145" t="s">
        <v>317</v>
      </c>
      <c r="AE1" s="146"/>
      <c r="AG1" s="42" t="s">
        <v>415</v>
      </c>
    </row>
    <row r="2" spans="1:33" x14ac:dyDescent="0.35">
      <c r="A2" s="156" t="s">
        <v>319</v>
      </c>
      <c r="B2" s="157" t="s">
        <v>320</v>
      </c>
      <c r="C2" s="4" t="s">
        <v>321</v>
      </c>
      <c r="D2" s="4" t="s">
        <v>0</v>
      </c>
      <c r="E2" s="4"/>
      <c r="F2" s="4"/>
      <c r="G2" s="164"/>
      <c r="H2" s="10"/>
      <c r="I2" s="7"/>
      <c r="J2" s="149"/>
      <c r="K2" s="10"/>
      <c r="L2" s="7"/>
      <c r="M2" s="149"/>
      <c r="N2" s="10"/>
      <c r="O2" s="10"/>
      <c r="P2" s="140"/>
      <c r="Q2" s="10" t="s">
        <v>101</v>
      </c>
      <c r="R2" s="10"/>
      <c r="S2" s="140"/>
      <c r="T2" s="10" t="s">
        <v>102</v>
      </c>
      <c r="U2" s="10"/>
      <c r="V2" s="140"/>
      <c r="W2" s="10"/>
      <c r="X2" s="10"/>
      <c r="Y2" s="140"/>
      <c r="Z2" s="10"/>
      <c r="AA2" s="10"/>
      <c r="AB2" s="140"/>
      <c r="AC2" s="10"/>
      <c r="AD2" s="10"/>
      <c r="AE2" s="140"/>
      <c r="AF2" s="9" t="s">
        <v>320</v>
      </c>
      <c r="AG2" s="35" t="s">
        <v>416</v>
      </c>
    </row>
    <row r="3" spans="1:33" ht="14.25" customHeight="1" x14ac:dyDescent="0.35">
      <c r="A3" s="156"/>
      <c r="B3" s="157"/>
      <c r="C3" s="4" t="s">
        <v>323</v>
      </c>
      <c r="D3" s="4" t="s">
        <v>1</v>
      </c>
      <c r="E3" s="4"/>
      <c r="F3" s="4"/>
      <c r="G3" s="164"/>
      <c r="H3" s="10"/>
      <c r="I3" s="7"/>
      <c r="J3" s="149"/>
      <c r="K3" s="10"/>
      <c r="L3" s="7"/>
      <c r="M3" s="149"/>
      <c r="N3" s="10"/>
      <c r="O3" s="10"/>
      <c r="P3" s="139"/>
      <c r="Q3" s="10">
        <v>1920</v>
      </c>
      <c r="R3" s="10"/>
      <c r="S3" s="139"/>
      <c r="T3" s="10">
        <v>2000</v>
      </c>
      <c r="U3" s="10"/>
      <c r="V3" s="139"/>
      <c r="W3" s="10"/>
      <c r="X3" s="10"/>
      <c r="Y3" s="139"/>
      <c r="Z3" s="10"/>
      <c r="AA3" s="10"/>
      <c r="AB3" s="139"/>
      <c r="AC3" s="10"/>
      <c r="AD3" s="10"/>
      <c r="AE3" s="139"/>
      <c r="AF3" s="9" t="s">
        <v>324</v>
      </c>
      <c r="AG3" s="35" t="s">
        <v>417</v>
      </c>
    </row>
    <row r="4" spans="1:33" ht="14.25" customHeight="1" x14ac:dyDescent="0.35">
      <c r="A4" s="156"/>
      <c r="B4" s="157"/>
      <c r="C4" s="4" t="s">
        <v>326</v>
      </c>
      <c r="D4" s="4" t="s">
        <v>1</v>
      </c>
      <c r="E4" s="4"/>
      <c r="F4" s="4"/>
      <c r="G4" s="164"/>
      <c r="H4" s="10"/>
      <c r="I4" s="7"/>
      <c r="J4" s="149"/>
      <c r="K4" s="10"/>
      <c r="L4" s="7"/>
      <c r="M4" s="149"/>
      <c r="N4" s="10"/>
      <c r="O4" s="10"/>
      <c r="P4" s="139"/>
      <c r="Q4" s="10">
        <v>2584</v>
      </c>
      <c r="R4" s="10"/>
      <c r="S4" s="139"/>
      <c r="T4" s="10">
        <v>2584</v>
      </c>
      <c r="U4" s="10"/>
      <c r="V4" s="139"/>
      <c r="W4" s="10"/>
      <c r="X4" s="10"/>
      <c r="Y4" s="139"/>
      <c r="Z4" s="10"/>
      <c r="AA4" s="10"/>
      <c r="AB4" s="139"/>
      <c r="AC4" s="10"/>
      <c r="AD4" s="10"/>
      <c r="AE4" s="139"/>
      <c r="AF4" s="9" t="s">
        <v>327</v>
      </c>
      <c r="AG4" s="35" t="s">
        <v>418</v>
      </c>
    </row>
    <row r="5" spans="1:33" ht="14.65" customHeight="1" thickBot="1" x14ac:dyDescent="0.4">
      <c r="A5" s="156"/>
      <c r="B5" s="163"/>
      <c r="C5" s="25" t="s">
        <v>329</v>
      </c>
      <c r="D5" s="25" t="s">
        <v>1</v>
      </c>
      <c r="E5" s="25"/>
      <c r="F5" s="25"/>
      <c r="G5" s="165"/>
      <c r="H5" s="26"/>
      <c r="I5" s="30"/>
      <c r="J5" s="166"/>
      <c r="K5" s="26"/>
      <c r="L5" s="30"/>
      <c r="M5" s="166"/>
      <c r="N5" s="26"/>
      <c r="O5" s="26"/>
      <c r="P5" s="167"/>
      <c r="Q5" s="26">
        <v>5800</v>
      </c>
      <c r="R5" s="26"/>
      <c r="S5" s="167"/>
      <c r="T5" s="26">
        <v>5840</v>
      </c>
      <c r="U5" s="26"/>
      <c r="V5" s="167"/>
      <c r="W5" s="26"/>
      <c r="X5" s="26"/>
      <c r="Y5" s="167"/>
      <c r="Z5" s="26"/>
      <c r="AA5" s="26"/>
      <c r="AB5" s="167"/>
      <c r="AC5" s="26"/>
      <c r="AD5" s="26"/>
      <c r="AE5" s="167"/>
      <c r="AF5" s="9" t="s">
        <v>330</v>
      </c>
      <c r="AG5" s="35" t="s">
        <v>419</v>
      </c>
    </row>
    <row r="6" spans="1:33" x14ac:dyDescent="0.35">
      <c r="A6" s="156"/>
      <c r="B6" s="169" t="s">
        <v>324</v>
      </c>
      <c r="C6" s="32" t="s">
        <v>332</v>
      </c>
      <c r="D6" s="32" t="s">
        <v>1</v>
      </c>
      <c r="E6" s="32"/>
      <c r="F6" s="32"/>
      <c r="G6" s="169"/>
      <c r="H6" s="37"/>
      <c r="I6" s="38"/>
      <c r="J6" s="170"/>
      <c r="K6" s="37"/>
      <c r="L6" s="38"/>
      <c r="M6" s="170"/>
      <c r="N6" s="37"/>
      <c r="O6" s="37"/>
      <c r="P6" s="171"/>
      <c r="Q6" s="69">
        <v>1520</v>
      </c>
      <c r="R6" s="37"/>
      <c r="S6" s="171"/>
      <c r="T6" s="68">
        <v>1600</v>
      </c>
      <c r="U6" s="37"/>
      <c r="V6" s="171"/>
      <c r="W6" s="37"/>
      <c r="X6" s="37"/>
      <c r="Y6" s="171"/>
      <c r="Z6" s="37"/>
      <c r="AA6" s="37"/>
      <c r="AB6" s="171"/>
      <c r="AC6" s="37"/>
      <c r="AD6" s="37"/>
      <c r="AE6" s="171"/>
      <c r="AF6" s="9" t="s">
        <v>333</v>
      </c>
      <c r="AG6" s="35" t="s">
        <v>334</v>
      </c>
    </row>
    <row r="7" spans="1:33" ht="14.25" customHeight="1" x14ac:dyDescent="0.35">
      <c r="A7" s="156"/>
      <c r="B7" s="157"/>
      <c r="C7" s="4" t="s">
        <v>335</v>
      </c>
      <c r="D7" s="4" t="s">
        <v>1</v>
      </c>
      <c r="E7" s="4"/>
      <c r="F7" s="4"/>
      <c r="G7" s="157"/>
      <c r="H7" s="10"/>
      <c r="I7" s="7"/>
      <c r="J7" s="149"/>
      <c r="K7" s="10"/>
      <c r="L7" s="7"/>
      <c r="M7" s="149"/>
      <c r="N7" s="10"/>
      <c r="O7" s="10"/>
      <c r="P7" s="139"/>
      <c r="Q7" s="10">
        <v>1990</v>
      </c>
      <c r="R7" s="10"/>
      <c r="S7" s="139"/>
      <c r="T7" s="10">
        <v>1990</v>
      </c>
      <c r="U7" s="10"/>
      <c r="V7" s="139"/>
      <c r="W7" s="10"/>
      <c r="X7" s="10"/>
      <c r="Y7" s="139"/>
      <c r="Z7" s="10"/>
      <c r="AA7" s="10"/>
      <c r="AB7" s="139"/>
      <c r="AC7" s="10"/>
      <c r="AD7" s="10"/>
      <c r="AE7" s="139"/>
      <c r="AF7" s="9" t="s">
        <v>336</v>
      </c>
      <c r="AG7" s="35" t="s">
        <v>420</v>
      </c>
    </row>
    <row r="8" spans="1:33" ht="14.25" customHeight="1" x14ac:dyDescent="0.35">
      <c r="A8" s="156"/>
      <c r="B8" s="157"/>
      <c r="C8" s="4" t="s">
        <v>338</v>
      </c>
      <c r="D8" s="4" t="s">
        <v>1</v>
      </c>
      <c r="E8" s="4"/>
      <c r="F8" s="4"/>
      <c r="G8" s="157"/>
      <c r="H8" s="10"/>
      <c r="I8" s="7"/>
      <c r="J8" s="149"/>
      <c r="K8" s="10"/>
      <c r="L8" s="7"/>
      <c r="M8" s="149"/>
      <c r="N8" s="10"/>
      <c r="O8" s="10"/>
      <c r="P8" s="139"/>
      <c r="Q8" s="10">
        <v>2500</v>
      </c>
      <c r="R8" s="10"/>
      <c r="S8" s="139"/>
      <c r="T8" s="10">
        <v>2500</v>
      </c>
      <c r="U8" s="10"/>
      <c r="V8" s="139"/>
      <c r="W8" s="10"/>
      <c r="X8" s="10"/>
      <c r="Y8" s="139"/>
      <c r="Z8" s="10"/>
      <c r="AA8" s="10"/>
      <c r="AB8" s="139"/>
      <c r="AC8" s="10"/>
      <c r="AD8" s="10"/>
      <c r="AE8" s="139"/>
      <c r="AF8" s="9" t="s">
        <v>339</v>
      </c>
      <c r="AG8" s="35" t="s">
        <v>421</v>
      </c>
    </row>
    <row r="9" spans="1:33" ht="14.65" customHeight="1" thickBot="1" x14ac:dyDescent="0.4">
      <c r="A9" s="156"/>
      <c r="B9" s="163"/>
      <c r="C9" s="25" t="s">
        <v>341</v>
      </c>
      <c r="D9" s="25" t="s">
        <v>1</v>
      </c>
      <c r="E9" s="25"/>
      <c r="F9" s="25"/>
      <c r="G9" s="163"/>
      <c r="H9" s="26"/>
      <c r="I9" s="30"/>
      <c r="J9" s="166"/>
      <c r="K9" s="26"/>
      <c r="L9" s="30"/>
      <c r="M9" s="166"/>
      <c r="N9" s="26"/>
      <c r="O9" s="26"/>
      <c r="P9" s="167"/>
      <c r="Q9" s="26">
        <v>400</v>
      </c>
      <c r="R9" s="26"/>
      <c r="S9" s="167"/>
      <c r="T9" s="26">
        <v>400</v>
      </c>
      <c r="U9" s="26"/>
      <c r="V9" s="167"/>
      <c r="W9" s="26"/>
      <c r="X9" s="26"/>
      <c r="Y9" s="167"/>
      <c r="Z9" s="26"/>
      <c r="AA9" s="26"/>
      <c r="AB9" s="167"/>
      <c r="AC9" s="26"/>
      <c r="AD9" s="26"/>
      <c r="AE9" s="167"/>
      <c r="AF9" s="9" t="s">
        <v>342</v>
      </c>
      <c r="AG9" s="35" t="s">
        <v>422</v>
      </c>
    </row>
    <row r="10" spans="1:33" x14ac:dyDescent="0.35">
      <c r="A10" s="156"/>
      <c r="B10" s="169" t="s">
        <v>327</v>
      </c>
      <c r="C10" s="32" t="s">
        <v>344</v>
      </c>
      <c r="D10" s="32" t="s">
        <v>1</v>
      </c>
      <c r="E10" s="32"/>
      <c r="F10" s="32"/>
      <c r="G10" s="169"/>
      <c r="H10" s="37"/>
      <c r="I10" s="38"/>
      <c r="J10" s="170"/>
      <c r="K10" s="37"/>
      <c r="L10" s="38"/>
      <c r="M10" s="170"/>
      <c r="N10" s="37"/>
      <c r="O10" s="37"/>
      <c r="P10" s="171"/>
      <c r="Q10" s="37">
        <v>5695</v>
      </c>
      <c r="R10" s="37"/>
      <c r="S10" s="171"/>
      <c r="T10" s="37">
        <v>5695</v>
      </c>
      <c r="U10" s="37"/>
      <c r="V10" s="171"/>
      <c r="W10" s="37"/>
      <c r="X10" s="37"/>
      <c r="Y10" s="171"/>
      <c r="Z10" s="37"/>
      <c r="AA10" s="37"/>
      <c r="AB10" s="171"/>
      <c r="AC10" s="37"/>
      <c r="AD10" s="37"/>
      <c r="AE10" s="171"/>
      <c r="AF10" s="9" t="s">
        <v>345</v>
      </c>
      <c r="AG10" s="35" t="s">
        <v>423</v>
      </c>
    </row>
    <row r="11" spans="1:33" ht="14.25" customHeight="1" x14ac:dyDescent="0.35">
      <c r="A11" s="156"/>
      <c r="B11" s="157"/>
      <c r="C11" s="4" t="s">
        <v>347</v>
      </c>
      <c r="D11" s="4" t="s">
        <v>1</v>
      </c>
      <c r="E11" s="4"/>
      <c r="F11" s="4"/>
      <c r="G11" s="157"/>
      <c r="H11" s="10"/>
      <c r="I11" s="7"/>
      <c r="J11" s="149"/>
      <c r="K11" s="10"/>
      <c r="L11" s="7"/>
      <c r="M11" s="149"/>
      <c r="N11" s="10"/>
      <c r="O11" s="10"/>
      <c r="P11" s="139"/>
      <c r="Q11" s="10">
        <v>4150</v>
      </c>
      <c r="R11" s="10"/>
      <c r="S11" s="139"/>
      <c r="T11" s="10">
        <v>4150</v>
      </c>
      <c r="U11" s="10"/>
      <c r="V11" s="139"/>
      <c r="W11" s="10"/>
      <c r="X11" s="10"/>
      <c r="Y11" s="139"/>
      <c r="Z11" s="10"/>
      <c r="AA11" s="10"/>
      <c r="AB11" s="139"/>
      <c r="AC11" s="10"/>
      <c r="AD11" s="10"/>
      <c r="AE11" s="139"/>
      <c r="AG11" s="42" t="s">
        <v>424</v>
      </c>
    </row>
    <row r="12" spans="1:33" ht="14.25" customHeight="1" x14ac:dyDescent="0.35">
      <c r="A12" s="156"/>
      <c r="B12" s="157"/>
      <c r="C12" s="4" t="s">
        <v>349</v>
      </c>
      <c r="D12" s="4" t="s">
        <v>1</v>
      </c>
      <c r="E12" s="4"/>
      <c r="F12" s="4"/>
      <c r="G12" s="157"/>
      <c r="H12" s="10"/>
      <c r="I12" s="7"/>
      <c r="J12" s="149"/>
      <c r="K12" s="10"/>
      <c r="L12" s="7"/>
      <c r="M12" s="149"/>
      <c r="N12" s="10"/>
      <c r="O12" s="10"/>
      <c r="P12" s="139"/>
      <c r="Q12" s="10">
        <v>3695</v>
      </c>
      <c r="R12" s="10"/>
      <c r="S12" s="139"/>
      <c r="T12" s="10">
        <v>3695</v>
      </c>
      <c r="U12" s="10"/>
      <c r="V12" s="139"/>
      <c r="W12" s="10"/>
      <c r="X12" s="10"/>
      <c r="Y12" s="139"/>
      <c r="Z12" s="10"/>
      <c r="AA12" s="10"/>
      <c r="AB12" s="139"/>
      <c r="AC12" s="10"/>
      <c r="AD12" s="10"/>
      <c r="AE12" s="139"/>
      <c r="AF12" s="9" t="s">
        <v>350</v>
      </c>
      <c r="AG12" s="35" t="s">
        <v>425</v>
      </c>
    </row>
    <row r="13" spans="1:33" ht="14.25" customHeight="1" x14ac:dyDescent="0.35">
      <c r="A13" s="156"/>
      <c r="B13" s="157"/>
      <c r="C13" s="4" t="s">
        <v>352</v>
      </c>
      <c r="D13" s="4" t="s">
        <v>1</v>
      </c>
      <c r="E13" s="4"/>
      <c r="F13" s="4"/>
      <c r="G13" s="157"/>
      <c r="H13" s="10"/>
      <c r="I13" s="7"/>
      <c r="J13" s="149"/>
      <c r="K13" s="10"/>
      <c r="L13" s="7"/>
      <c r="M13" s="149"/>
      <c r="N13" s="10"/>
      <c r="O13" s="10"/>
      <c r="P13" s="139"/>
      <c r="Q13" s="10">
        <v>6105</v>
      </c>
      <c r="R13" s="10"/>
      <c r="S13" s="139"/>
      <c r="T13" s="10">
        <v>6105</v>
      </c>
      <c r="U13" s="10"/>
      <c r="V13" s="139"/>
      <c r="W13" s="10"/>
      <c r="X13" s="10"/>
      <c r="Y13" s="139"/>
      <c r="Z13" s="10"/>
      <c r="AA13" s="10"/>
      <c r="AB13" s="139"/>
      <c r="AC13" s="10"/>
      <c r="AD13" s="10"/>
      <c r="AE13" s="139"/>
      <c r="AF13" s="9" t="s">
        <v>333</v>
      </c>
      <c r="AG13" s="35" t="s">
        <v>426</v>
      </c>
    </row>
    <row r="14" spans="1:33" ht="14.25" customHeight="1" x14ac:dyDescent="0.35">
      <c r="A14" s="156"/>
      <c r="B14" s="157"/>
      <c r="C14" s="4" t="s">
        <v>354</v>
      </c>
      <c r="D14" s="4" t="s">
        <v>1</v>
      </c>
      <c r="E14" s="4"/>
      <c r="F14" s="4"/>
      <c r="G14" s="157"/>
      <c r="H14" s="10"/>
      <c r="I14" s="7"/>
      <c r="J14" s="149"/>
      <c r="K14" s="10"/>
      <c r="L14" s="7"/>
      <c r="M14" s="149"/>
      <c r="N14" s="10"/>
      <c r="O14" s="10"/>
      <c r="P14" s="139"/>
      <c r="Q14" s="10">
        <v>5970</v>
      </c>
      <c r="R14" s="10"/>
      <c r="S14" s="139"/>
      <c r="T14" s="10">
        <v>5970</v>
      </c>
      <c r="U14" s="10"/>
      <c r="V14" s="139"/>
      <c r="W14" s="10"/>
      <c r="X14" s="10"/>
      <c r="Y14" s="139"/>
      <c r="Z14" s="10"/>
      <c r="AA14" s="10"/>
      <c r="AB14" s="139"/>
      <c r="AC14" s="10"/>
      <c r="AD14" s="10"/>
      <c r="AE14" s="139"/>
      <c r="AF14" s="9" t="s">
        <v>355</v>
      </c>
      <c r="AG14" s="35" t="s">
        <v>427</v>
      </c>
    </row>
    <row r="15" spans="1:33" s="14" customFormat="1" ht="17.25" thickBot="1" x14ac:dyDescent="0.3">
      <c r="A15" s="156"/>
      <c r="B15" s="163"/>
      <c r="C15" s="25" t="s">
        <v>357</v>
      </c>
      <c r="D15" s="25" t="s">
        <v>1</v>
      </c>
      <c r="E15" s="25"/>
      <c r="F15" s="25"/>
      <c r="G15" s="163"/>
      <c r="H15" s="29"/>
      <c r="I15" s="29"/>
      <c r="J15" s="166"/>
      <c r="K15" s="29"/>
      <c r="L15" s="29"/>
      <c r="M15" s="166"/>
      <c r="N15" s="30"/>
      <c r="O15" s="30"/>
      <c r="P15" s="167"/>
      <c r="Q15" s="29">
        <v>1650</v>
      </c>
      <c r="R15" s="29"/>
      <c r="S15" s="167"/>
      <c r="T15" s="29">
        <v>1690</v>
      </c>
      <c r="U15" s="29"/>
      <c r="V15" s="167"/>
      <c r="W15" s="29"/>
      <c r="X15" s="29"/>
      <c r="Y15" s="167"/>
      <c r="Z15" s="29"/>
      <c r="AA15" s="29"/>
      <c r="AB15" s="167"/>
      <c r="AC15" s="29"/>
      <c r="AD15" s="29"/>
      <c r="AE15" s="167"/>
      <c r="AF15" s="14" t="s">
        <v>358</v>
      </c>
      <c r="AG15" s="36" t="s">
        <v>428</v>
      </c>
    </row>
    <row r="16" spans="1:33" ht="14.25" customHeight="1" x14ac:dyDescent="0.35">
      <c r="A16" s="156"/>
      <c r="B16" s="169" t="s">
        <v>330</v>
      </c>
      <c r="C16" s="32" t="s">
        <v>360</v>
      </c>
      <c r="D16" s="32" t="s">
        <v>3</v>
      </c>
      <c r="E16" s="32"/>
      <c r="F16" s="32"/>
      <c r="G16" s="169"/>
      <c r="H16" s="39"/>
      <c r="I16" s="40"/>
      <c r="J16" s="178"/>
      <c r="K16" s="39"/>
      <c r="L16" s="40"/>
      <c r="M16" s="178"/>
      <c r="N16" s="38"/>
      <c r="O16" s="38"/>
      <c r="P16" s="171"/>
      <c r="Q16" s="64">
        <v>44.3</v>
      </c>
      <c r="R16" s="38"/>
      <c r="S16" s="171"/>
      <c r="T16" s="66">
        <v>46</v>
      </c>
      <c r="U16" s="38"/>
      <c r="V16" s="171"/>
      <c r="W16" s="37"/>
      <c r="X16" s="37"/>
      <c r="Y16" s="171"/>
      <c r="Z16" s="37"/>
      <c r="AA16" s="37"/>
      <c r="AB16" s="171"/>
      <c r="AC16" s="37"/>
      <c r="AD16" s="37"/>
      <c r="AE16" s="171"/>
      <c r="AF16" s="9" t="s">
        <v>361</v>
      </c>
      <c r="AG16" s="35" t="s">
        <v>429</v>
      </c>
    </row>
    <row r="17" spans="1:43" ht="17.25" thickBot="1" x14ac:dyDescent="0.4">
      <c r="A17" s="156"/>
      <c r="B17" s="163"/>
      <c r="C17" s="25" t="s">
        <v>363</v>
      </c>
      <c r="D17" s="25" t="s">
        <v>3</v>
      </c>
      <c r="E17" s="30"/>
      <c r="F17" s="30"/>
      <c r="G17" s="163"/>
      <c r="H17" s="26"/>
      <c r="I17" s="30"/>
      <c r="J17" s="179"/>
      <c r="K17" s="26"/>
      <c r="L17" s="30"/>
      <c r="M17" s="179"/>
      <c r="N17" s="30"/>
      <c r="O17" s="30"/>
      <c r="P17" s="167"/>
      <c r="Q17" s="65">
        <v>42.7</v>
      </c>
      <c r="R17" s="30"/>
      <c r="S17" s="167"/>
      <c r="T17" s="67">
        <v>45.1</v>
      </c>
      <c r="U17" s="30"/>
      <c r="V17" s="167"/>
      <c r="W17" s="26"/>
      <c r="X17" s="26"/>
      <c r="Y17" s="167"/>
      <c r="Z17" s="26"/>
      <c r="AA17" s="26"/>
      <c r="AB17" s="167"/>
      <c r="AC17" s="26"/>
      <c r="AD17" s="26"/>
      <c r="AE17" s="167"/>
    </row>
    <row r="18" spans="1:43" x14ac:dyDescent="0.35">
      <c r="A18" s="156"/>
      <c r="B18" s="169" t="s">
        <v>364</v>
      </c>
      <c r="C18" s="32" t="s">
        <v>365</v>
      </c>
      <c r="D18" s="32" t="s">
        <v>1</v>
      </c>
      <c r="E18" s="32"/>
      <c r="F18" s="32"/>
      <c r="G18" s="32"/>
      <c r="H18" s="37"/>
      <c r="I18" s="38"/>
      <c r="J18" s="38"/>
      <c r="K18" s="37"/>
      <c r="L18" s="38"/>
      <c r="M18" s="38"/>
      <c r="N18" s="38"/>
      <c r="O18" s="38"/>
      <c r="P18" s="38"/>
      <c r="Q18" s="37">
        <v>1600</v>
      </c>
      <c r="R18" s="37"/>
      <c r="S18" s="38"/>
      <c r="T18" s="37">
        <v>1600</v>
      </c>
      <c r="U18" s="37"/>
      <c r="V18" s="38"/>
      <c r="W18" s="37"/>
      <c r="X18" s="37"/>
      <c r="Y18" s="38"/>
      <c r="Z18" s="37"/>
      <c r="AA18" s="37"/>
      <c r="AB18" s="38"/>
      <c r="AC18" s="37"/>
      <c r="AD18" s="37"/>
      <c r="AE18" s="38"/>
    </row>
    <row r="19" spans="1:43" x14ac:dyDescent="0.35">
      <c r="A19" s="156"/>
      <c r="B19" s="157"/>
      <c r="C19" s="4" t="s">
        <v>366</v>
      </c>
      <c r="D19" s="4" t="s">
        <v>1</v>
      </c>
      <c r="E19" s="4"/>
      <c r="F19" s="4"/>
      <c r="G19" s="4"/>
      <c r="H19" s="10"/>
      <c r="I19" s="7"/>
      <c r="J19" s="7"/>
      <c r="K19" s="10"/>
      <c r="L19" s="7"/>
      <c r="M19" s="7"/>
      <c r="N19" s="7"/>
      <c r="O19" s="7"/>
      <c r="P19" s="7"/>
      <c r="Q19" s="7">
        <v>3000</v>
      </c>
      <c r="R19" s="7"/>
      <c r="S19" s="7"/>
      <c r="T19" s="7">
        <v>3000</v>
      </c>
      <c r="U19" s="7"/>
      <c r="V19" s="7"/>
      <c r="W19" s="10"/>
      <c r="X19" s="10"/>
      <c r="Y19" s="7"/>
      <c r="Z19" s="10"/>
      <c r="AA19" s="10"/>
      <c r="AB19" s="7"/>
      <c r="AC19" s="10"/>
      <c r="AD19" s="10"/>
      <c r="AE19" s="7"/>
    </row>
    <row r="20" spans="1:43" ht="17.25" thickBot="1" x14ac:dyDescent="0.4">
      <c r="A20" s="156"/>
      <c r="B20" s="163"/>
      <c r="C20" s="25" t="s">
        <v>430</v>
      </c>
      <c r="D20" s="25" t="s">
        <v>1</v>
      </c>
      <c r="E20" s="30"/>
      <c r="F20" s="30"/>
      <c r="G20" s="25"/>
      <c r="H20" s="26"/>
      <c r="I20" s="30"/>
      <c r="J20" s="30"/>
      <c r="K20" s="26"/>
      <c r="L20" s="30"/>
      <c r="M20" s="30"/>
      <c r="N20" s="30"/>
      <c r="O20" s="30"/>
      <c r="P20" s="30"/>
      <c r="Q20" s="26">
        <v>1900</v>
      </c>
      <c r="R20" s="26"/>
      <c r="S20" s="30"/>
      <c r="T20" s="26">
        <v>1900</v>
      </c>
      <c r="U20" s="26"/>
      <c r="V20" s="30"/>
      <c r="W20" s="26"/>
      <c r="X20" s="26"/>
      <c r="Y20" s="30"/>
      <c r="Z20" s="26"/>
      <c r="AA20" s="26"/>
      <c r="AB20" s="30"/>
      <c r="AC20" s="26"/>
      <c r="AD20" s="26"/>
      <c r="AE20" s="30"/>
    </row>
    <row r="21" spans="1:43" s="14" customFormat="1" ht="33" x14ac:dyDescent="0.25">
      <c r="A21" s="156"/>
      <c r="B21" s="169" t="s">
        <v>333</v>
      </c>
      <c r="C21" s="32" t="s">
        <v>333</v>
      </c>
      <c r="D21" s="32" t="s">
        <v>367</v>
      </c>
      <c r="E21" s="32"/>
      <c r="F21" s="32"/>
      <c r="G21" s="175"/>
      <c r="H21" s="38"/>
      <c r="I21" s="38"/>
      <c r="J21" s="170"/>
      <c r="K21" s="38"/>
      <c r="L21" s="38"/>
      <c r="M21" s="170"/>
      <c r="N21" s="38"/>
      <c r="O21" s="38"/>
      <c r="P21" s="171"/>
      <c r="Q21" s="40" t="s">
        <v>455</v>
      </c>
      <c r="R21" s="40"/>
      <c r="S21" s="176"/>
      <c r="T21" s="40" t="s">
        <v>455</v>
      </c>
      <c r="U21" s="40"/>
      <c r="V21" s="176"/>
      <c r="W21" s="38"/>
      <c r="X21" s="38"/>
      <c r="Y21" s="171"/>
      <c r="Z21" s="38"/>
      <c r="AA21" s="38"/>
      <c r="AB21" s="171"/>
      <c r="AC21" s="38"/>
      <c r="AD21" s="38"/>
      <c r="AE21" s="171"/>
      <c r="AG21" s="44"/>
      <c r="AH21" s="45"/>
      <c r="AI21" s="45"/>
      <c r="AJ21" s="45"/>
      <c r="AK21" s="45"/>
      <c r="AL21" s="45"/>
      <c r="AM21" s="45"/>
      <c r="AN21" s="45"/>
      <c r="AO21" s="45"/>
      <c r="AP21" s="45"/>
      <c r="AQ21" s="46"/>
    </row>
    <row r="22" spans="1:43" ht="14.25" customHeight="1" x14ac:dyDescent="0.35">
      <c r="A22" s="156"/>
      <c r="B22" s="157"/>
      <c r="C22" s="4" t="s">
        <v>371</v>
      </c>
      <c r="D22" s="4" t="s">
        <v>15</v>
      </c>
      <c r="E22" s="4"/>
      <c r="F22" s="4"/>
      <c r="G22" s="164"/>
      <c r="H22" s="10"/>
      <c r="I22" s="7"/>
      <c r="J22" s="149"/>
      <c r="K22" s="10"/>
      <c r="L22" s="7"/>
      <c r="M22" s="149"/>
      <c r="N22" s="7"/>
      <c r="O22" s="7"/>
      <c r="P22" s="139"/>
      <c r="Q22" s="10" t="s">
        <v>103</v>
      </c>
      <c r="R22" s="10"/>
      <c r="S22" s="150"/>
      <c r="T22" s="10" t="s">
        <v>104</v>
      </c>
      <c r="U22" s="10"/>
      <c r="V22" s="150"/>
      <c r="W22" s="10"/>
      <c r="X22" s="10"/>
      <c r="Y22" s="139"/>
      <c r="Z22" s="10"/>
      <c r="AA22" s="10"/>
      <c r="AB22" s="139"/>
      <c r="AC22" s="10"/>
      <c r="AD22" s="10"/>
      <c r="AE22" s="139"/>
      <c r="AG22" s="47" t="s">
        <v>320</v>
      </c>
      <c r="AH22" s="43"/>
      <c r="AQ22" s="48"/>
    </row>
    <row r="23" spans="1:43" x14ac:dyDescent="0.35">
      <c r="A23" s="156"/>
      <c r="B23" s="157"/>
      <c r="C23" s="4" t="s">
        <v>372</v>
      </c>
      <c r="D23" s="4" t="s">
        <v>16</v>
      </c>
      <c r="E23" s="4"/>
      <c r="F23" s="4"/>
      <c r="G23" s="164"/>
      <c r="H23" s="10"/>
      <c r="I23" s="7"/>
      <c r="J23" s="149"/>
      <c r="K23" s="10"/>
      <c r="L23" s="7"/>
      <c r="M23" s="149"/>
      <c r="N23" s="7"/>
      <c r="O23" s="7"/>
      <c r="P23" s="139"/>
      <c r="Q23" s="10">
        <v>22.6</v>
      </c>
      <c r="R23" s="10"/>
      <c r="S23" s="150"/>
      <c r="T23" s="10">
        <v>22.6</v>
      </c>
      <c r="U23" s="10"/>
      <c r="V23" s="150"/>
      <c r="W23" s="10"/>
      <c r="X23" s="10"/>
      <c r="Y23" s="139"/>
      <c r="Z23" s="10"/>
      <c r="AA23" s="10"/>
      <c r="AB23" s="139"/>
      <c r="AC23" s="10"/>
      <c r="AD23" s="10"/>
      <c r="AE23" s="139"/>
      <c r="AG23" s="47" t="s">
        <v>324</v>
      </c>
      <c r="AQ23" s="48"/>
    </row>
    <row r="24" spans="1:43" x14ac:dyDescent="0.35">
      <c r="A24" s="156"/>
      <c r="B24" s="157"/>
      <c r="C24" s="4" t="s">
        <v>373</v>
      </c>
      <c r="D24" s="4" t="s">
        <v>16</v>
      </c>
      <c r="E24" s="4"/>
      <c r="F24" s="4"/>
      <c r="G24" s="164"/>
      <c r="H24" s="10"/>
      <c r="I24" s="7"/>
      <c r="J24" s="149"/>
      <c r="K24" s="10"/>
      <c r="L24" s="7"/>
      <c r="M24" s="149"/>
      <c r="N24" s="7"/>
      <c r="O24" s="7"/>
      <c r="P24" s="139"/>
      <c r="Q24" s="7">
        <v>24.5</v>
      </c>
      <c r="R24" s="7"/>
      <c r="S24" s="150"/>
      <c r="T24" s="7">
        <v>24.5</v>
      </c>
      <c r="U24" s="7"/>
      <c r="V24" s="150"/>
      <c r="W24" s="10"/>
      <c r="X24" s="10"/>
      <c r="Y24" s="139"/>
      <c r="Z24" s="7"/>
      <c r="AA24" s="7"/>
      <c r="AB24" s="139"/>
      <c r="AC24" s="7"/>
      <c r="AD24" s="7"/>
      <c r="AE24" s="139"/>
      <c r="AG24" s="47" t="s">
        <v>374</v>
      </c>
      <c r="AQ24" s="48"/>
    </row>
    <row r="25" spans="1:43" x14ac:dyDescent="0.35">
      <c r="A25" s="156"/>
      <c r="B25" s="157"/>
      <c r="C25" s="4" t="s">
        <v>375</v>
      </c>
      <c r="D25" s="4" t="s">
        <v>16</v>
      </c>
      <c r="E25" s="4"/>
      <c r="F25" s="4"/>
      <c r="G25" s="164"/>
      <c r="H25" s="10"/>
      <c r="I25" s="7"/>
      <c r="J25" s="149"/>
      <c r="K25" s="10"/>
      <c r="L25" s="7"/>
      <c r="M25" s="149"/>
      <c r="N25" s="7"/>
      <c r="O25" s="7"/>
      <c r="P25" s="139"/>
      <c r="Q25" s="7">
        <v>19.600000000000001</v>
      </c>
      <c r="R25" s="7"/>
      <c r="S25" s="150"/>
      <c r="T25" s="7">
        <v>20.6</v>
      </c>
      <c r="U25" s="7"/>
      <c r="V25" s="150"/>
      <c r="W25" s="10"/>
      <c r="X25" s="10"/>
      <c r="Y25" s="139"/>
      <c r="Z25" s="7"/>
      <c r="AA25" s="7"/>
      <c r="AB25" s="139"/>
      <c r="AC25" s="7"/>
      <c r="AD25" s="7"/>
      <c r="AE25" s="139"/>
      <c r="AG25" s="47" t="s">
        <v>330</v>
      </c>
      <c r="AQ25" s="48"/>
    </row>
    <row r="26" spans="1:43" ht="14.25" customHeight="1" x14ac:dyDescent="0.35">
      <c r="A26" s="156"/>
      <c r="B26" s="157"/>
      <c r="C26" s="4" t="s">
        <v>376</v>
      </c>
      <c r="D26" s="4" t="s">
        <v>15</v>
      </c>
      <c r="E26" s="4"/>
      <c r="F26" s="4"/>
      <c r="G26" s="164"/>
      <c r="H26" s="10"/>
      <c r="I26" s="7"/>
      <c r="J26" s="149"/>
      <c r="K26" s="10"/>
      <c r="L26" s="7"/>
      <c r="M26" s="149"/>
      <c r="N26" s="10"/>
      <c r="O26" s="10"/>
      <c r="P26" s="139"/>
      <c r="Q26" s="10">
        <v>60.5</v>
      </c>
      <c r="R26" s="10"/>
      <c r="S26" s="150"/>
      <c r="T26" s="10"/>
      <c r="U26" s="10"/>
      <c r="V26" s="150"/>
      <c r="W26" s="10"/>
      <c r="X26" s="10"/>
      <c r="Y26" s="139"/>
      <c r="Z26" s="7"/>
      <c r="AA26" s="7"/>
      <c r="AB26" s="139"/>
      <c r="AC26" s="7"/>
      <c r="AD26" s="7"/>
      <c r="AE26" s="139"/>
      <c r="AG26" s="47" t="s">
        <v>333</v>
      </c>
      <c r="AH26" s="43"/>
      <c r="AQ26" s="48"/>
    </row>
    <row r="27" spans="1:43" ht="14.25" customHeight="1" x14ac:dyDescent="0.35">
      <c r="A27" s="156"/>
      <c r="B27" s="157"/>
      <c r="C27" s="4" t="s">
        <v>377</v>
      </c>
      <c r="D27" s="4" t="s">
        <v>17</v>
      </c>
      <c r="E27" s="4"/>
      <c r="F27" s="4"/>
      <c r="G27" s="164"/>
      <c r="H27" s="13"/>
      <c r="I27" s="12"/>
      <c r="J27" s="149"/>
      <c r="K27" s="13"/>
      <c r="L27" s="12"/>
      <c r="M27" s="149"/>
      <c r="N27" s="10"/>
      <c r="O27" s="10"/>
      <c r="P27" s="139"/>
      <c r="Q27" s="10"/>
      <c r="R27" s="10"/>
      <c r="S27" s="150"/>
      <c r="T27" s="10"/>
      <c r="U27" s="10"/>
      <c r="V27" s="150"/>
      <c r="W27" s="10"/>
      <c r="X27" s="10"/>
      <c r="Y27" s="139"/>
      <c r="Z27" s="7"/>
      <c r="AA27" s="7"/>
      <c r="AB27" s="139"/>
      <c r="AC27" s="7"/>
      <c r="AD27" s="7"/>
      <c r="AE27" s="139"/>
      <c r="AG27" s="47" t="s">
        <v>336</v>
      </c>
      <c r="AH27" s="43"/>
      <c r="AQ27" s="48"/>
    </row>
    <row r="28" spans="1:43" ht="14.25" customHeight="1" x14ac:dyDescent="0.35">
      <c r="A28" s="156"/>
      <c r="B28" s="157"/>
      <c r="C28" s="4" t="s">
        <v>378</v>
      </c>
      <c r="D28" s="4" t="s">
        <v>15</v>
      </c>
      <c r="E28" s="4"/>
      <c r="F28" s="4"/>
      <c r="G28" s="164"/>
      <c r="H28" s="10"/>
      <c r="I28" s="7"/>
      <c r="J28" s="149"/>
      <c r="K28" s="10"/>
      <c r="L28" s="7"/>
      <c r="M28" s="149"/>
      <c r="N28" s="7"/>
      <c r="O28" s="7"/>
      <c r="P28" s="139"/>
      <c r="Q28" s="10">
        <v>20.2</v>
      </c>
      <c r="R28" s="10"/>
      <c r="S28" s="150"/>
      <c r="T28" s="10"/>
      <c r="U28" s="10"/>
      <c r="V28" s="150"/>
      <c r="W28" s="10"/>
      <c r="X28" s="10"/>
      <c r="Y28" s="139"/>
      <c r="Z28" s="7"/>
      <c r="AA28" s="7"/>
      <c r="AB28" s="139"/>
      <c r="AC28" s="7"/>
      <c r="AD28" s="7"/>
      <c r="AE28" s="139"/>
      <c r="AG28" s="47" t="s">
        <v>339</v>
      </c>
      <c r="AQ28" s="48"/>
    </row>
    <row r="29" spans="1:43" ht="14.65" customHeight="1" thickBot="1" x14ac:dyDescent="0.4">
      <c r="A29" s="156"/>
      <c r="B29" s="163"/>
      <c r="C29" s="25" t="s">
        <v>379</v>
      </c>
      <c r="D29" s="25" t="s">
        <v>17</v>
      </c>
      <c r="E29" s="25"/>
      <c r="F29" s="25"/>
      <c r="G29" s="165"/>
      <c r="H29" s="26"/>
      <c r="I29" s="30"/>
      <c r="J29" s="166"/>
      <c r="K29" s="26"/>
      <c r="L29" s="30"/>
      <c r="M29" s="166"/>
      <c r="N29" s="30"/>
      <c r="O29" s="30"/>
      <c r="P29" s="167"/>
      <c r="Q29" s="26"/>
      <c r="R29" s="26"/>
      <c r="S29" s="177"/>
      <c r="T29" s="26"/>
      <c r="U29" s="26"/>
      <c r="V29" s="177"/>
      <c r="W29" s="26"/>
      <c r="X29" s="26"/>
      <c r="Y29" s="167"/>
      <c r="Z29" s="30"/>
      <c r="AA29" s="30"/>
      <c r="AB29" s="167"/>
      <c r="AC29" s="30"/>
      <c r="AD29" s="30"/>
      <c r="AE29" s="167"/>
      <c r="AG29" s="47" t="s">
        <v>342</v>
      </c>
      <c r="AH29" s="43"/>
      <c r="AQ29" s="48"/>
    </row>
    <row r="30" spans="1:43" ht="17.25" thickBot="1" x14ac:dyDescent="0.4">
      <c r="A30" s="156"/>
      <c r="B30" s="172" t="s">
        <v>336</v>
      </c>
      <c r="C30" s="32" t="s">
        <v>380</v>
      </c>
      <c r="D30" s="32" t="s">
        <v>18</v>
      </c>
      <c r="E30" s="32"/>
      <c r="F30" s="32"/>
      <c r="G30" s="175"/>
      <c r="H30" s="37"/>
      <c r="I30" s="38"/>
      <c r="J30" s="170"/>
      <c r="K30" s="37"/>
      <c r="L30" s="38"/>
      <c r="M30" s="170"/>
      <c r="N30" s="37"/>
      <c r="O30" s="37"/>
      <c r="P30" s="171"/>
      <c r="Q30" s="37" t="s">
        <v>34</v>
      </c>
      <c r="R30" s="37"/>
      <c r="S30" s="171"/>
      <c r="T30" s="37" t="s">
        <v>34</v>
      </c>
      <c r="U30" s="37"/>
      <c r="V30" s="171"/>
      <c r="W30" s="37"/>
      <c r="X30" s="37"/>
      <c r="Y30" s="171"/>
      <c r="Z30" s="37"/>
      <c r="AA30" s="37"/>
      <c r="AB30" s="171"/>
      <c r="AC30" s="37"/>
      <c r="AD30" s="37"/>
      <c r="AE30" s="171"/>
      <c r="AG30" s="49" t="s">
        <v>345</v>
      </c>
      <c r="AH30" s="27"/>
      <c r="AI30" s="27"/>
      <c r="AJ30" s="27"/>
      <c r="AK30" s="27"/>
      <c r="AL30" s="27"/>
      <c r="AM30" s="27"/>
      <c r="AN30" s="27"/>
      <c r="AO30" s="27"/>
      <c r="AP30" s="27"/>
      <c r="AQ30" s="50"/>
    </row>
    <row r="31" spans="1:43" ht="14.25" customHeight="1" x14ac:dyDescent="0.35">
      <c r="A31" s="156"/>
      <c r="B31" s="173"/>
      <c r="C31" s="4" t="s">
        <v>381</v>
      </c>
      <c r="D31" s="4" t="s">
        <v>19</v>
      </c>
      <c r="E31" s="4"/>
      <c r="F31" s="4"/>
      <c r="G31" s="164"/>
      <c r="H31" s="10"/>
      <c r="I31" s="7"/>
      <c r="J31" s="149"/>
      <c r="K31" s="10"/>
      <c r="L31" s="7"/>
      <c r="M31" s="149"/>
      <c r="N31" s="7"/>
      <c r="O31" s="7"/>
      <c r="P31" s="139"/>
      <c r="Q31" s="10">
        <v>52.8</v>
      </c>
      <c r="R31" s="10"/>
      <c r="S31" s="139"/>
      <c r="T31" s="10">
        <v>52.8</v>
      </c>
      <c r="U31" s="10"/>
      <c r="V31" s="139"/>
      <c r="W31" s="10"/>
      <c r="X31" s="10"/>
      <c r="Y31" s="139"/>
      <c r="Z31" s="10"/>
      <c r="AA31" s="10"/>
      <c r="AB31" s="139"/>
      <c r="AC31" s="10"/>
      <c r="AD31" s="10"/>
      <c r="AE31" s="139"/>
      <c r="AG31" s="60" t="s">
        <v>382</v>
      </c>
      <c r="AH31" s="60">
        <v>0</v>
      </c>
      <c r="AI31" s="60">
        <v>0</v>
      </c>
      <c r="AJ31" s="60">
        <v>0</v>
      </c>
      <c r="AK31" s="60">
        <v>0</v>
      </c>
      <c r="AL31" s="60">
        <v>0</v>
      </c>
      <c r="AM31" s="60">
        <v>0</v>
      </c>
      <c r="AN31" s="60">
        <v>0</v>
      </c>
      <c r="AO31" s="60">
        <v>0</v>
      </c>
      <c r="AP31" s="60">
        <v>0</v>
      </c>
      <c r="AQ31" s="60">
        <v>0</v>
      </c>
    </row>
    <row r="32" spans="1:43" ht="14.25" customHeight="1" x14ac:dyDescent="0.35">
      <c r="A32" s="156"/>
      <c r="B32" s="173"/>
      <c r="C32" s="4" t="s">
        <v>383</v>
      </c>
      <c r="D32" s="4" t="s">
        <v>20</v>
      </c>
      <c r="E32" s="4"/>
      <c r="F32" s="4"/>
      <c r="G32" s="164"/>
      <c r="H32" s="10"/>
      <c r="I32" s="7"/>
      <c r="J32" s="149"/>
      <c r="K32" s="10"/>
      <c r="L32" s="7"/>
      <c r="M32" s="149"/>
      <c r="N32" s="10"/>
      <c r="O32" s="10"/>
      <c r="P32" s="139"/>
      <c r="Q32" s="10"/>
      <c r="R32" s="10"/>
      <c r="S32" s="139"/>
      <c r="T32" s="10"/>
      <c r="U32" s="10"/>
      <c r="V32" s="139"/>
      <c r="W32" s="10"/>
      <c r="X32" s="10"/>
      <c r="Y32" s="139"/>
      <c r="Z32" s="10"/>
      <c r="AA32" s="10"/>
      <c r="AB32" s="139"/>
      <c r="AC32" s="10"/>
      <c r="AD32" s="10"/>
      <c r="AE32" s="139"/>
    </row>
    <row r="33" spans="1:31" ht="14.65" customHeight="1" thickBot="1" x14ac:dyDescent="0.4">
      <c r="A33" s="156"/>
      <c r="B33" s="174"/>
      <c r="C33" s="25" t="s">
        <v>384</v>
      </c>
      <c r="D33" s="25" t="s">
        <v>21</v>
      </c>
      <c r="E33" s="25"/>
      <c r="F33" s="25"/>
      <c r="G33" s="165"/>
      <c r="H33" s="26"/>
      <c r="I33" s="30"/>
      <c r="J33" s="166"/>
      <c r="K33" s="26"/>
      <c r="L33" s="30"/>
      <c r="M33" s="166"/>
      <c r="N33" s="30"/>
      <c r="O33" s="30"/>
      <c r="P33" s="167"/>
      <c r="Q33" s="30">
        <v>35</v>
      </c>
      <c r="R33" s="30"/>
      <c r="S33" s="167"/>
      <c r="T33" s="30">
        <v>35</v>
      </c>
      <c r="U33" s="30"/>
      <c r="V33" s="167"/>
      <c r="W33" s="26"/>
      <c r="X33" s="26"/>
      <c r="Y33" s="167"/>
      <c r="Z33" s="26"/>
      <c r="AA33" s="26"/>
      <c r="AB33" s="167"/>
      <c r="AC33" s="26"/>
      <c r="AD33" s="26"/>
      <c r="AE33" s="167"/>
    </row>
    <row r="34" spans="1:31" x14ac:dyDescent="0.35">
      <c r="A34" s="156"/>
      <c r="B34" s="172" t="s">
        <v>339</v>
      </c>
      <c r="C34" s="32" t="s">
        <v>385</v>
      </c>
      <c r="D34" s="32" t="s">
        <v>22</v>
      </c>
      <c r="E34" s="32"/>
      <c r="F34" s="32"/>
      <c r="G34" s="169"/>
      <c r="H34" s="37"/>
      <c r="I34" s="38"/>
      <c r="J34" s="170"/>
      <c r="K34" s="37"/>
      <c r="L34" s="38"/>
      <c r="M34" s="170"/>
      <c r="N34" s="38"/>
      <c r="O34" s="38"/>
      <c r="P34" s="171"/>
      <c r="Q34" s="37">
        <v>9.1999999999999993</v>
      </c>
      <c r="R34" s="37"/>
      <c r="S34" s="171"/>
      <c r="T34" s="37">
        <v>9.1</v>
      </c>
      <c r="U34" s="37"/>
      <c r="V34" s="171"/>
      <c r="W34" s="37"/>
      <c r="X34" s="37"/>
      <c r="Y34" s="171"/>
      <c r="Z34" s="37"/>
      <c r="AA34" s="37"/>
      <c r="AB34" s="171"/>
      <c r="AC34" s="37"/>
      <c r="AD34" s="37"/>
      <c r="AE34" s="171"/>
    </row>
    <row r="35" spans="1:31" ht="17.25" thickBot="1" x14ac:dyDescent="0.4">
      <c r="A35" s="156"/>
      <c r="B35" s="174"/>
      <c r="C35" s="25" t="s">
        <v>431</v>
      </c>
      <c r="D35" s="25" t="s">
        <v>21</v>
      </c>
      <c r="E35" s="25"/>
      <c r="F35" s="25"/>
      <c r="G35" s="163"/>
      <c r="H35" s="30"/>
      <c r="I35" s="30"/>
      <c r="J35" s="166"/>
      <c r="K35" s="30"/>
      <c r="L35" s="30"/>
      <c r="M35" s="166"/>
      <c r="N35" s="30"/>
      <c r="O35" s="30"/>
      <c r="P35" s="167"/>
      <c r="Q35" s="30"/>
      <c r="R35" s="30"/>
      <c r="S35" s="167"/>
      <c r="T35" s="30" t="s">
        <v>105</v>
      </c>
      <c r="U35" s="30"/>
      <c r="V35" s="167"/>
      <c r="W35" s="30"/>
      <c r="X35" s="30"/>
      <c r="Y35" s="167"/>
      <c r="Z35" s="30"/>
      <c r="AA35" s="30"/>
      <c r="AB35" s="167"/>
      <c r="AC35" s="30"/>
      <c r="AD35" s="30"/>
      <c r="AE35" s="167"/>
    </row>
    <row r="36" spans="1:31" x14ac:dyDescent="0.35">
      <c r="A36" s="156"/>
      <c r="B36" s="172" t="s">
        <v>342</v>
      </c>
      <c r="C36" s="32" t="s">
        <v>386</v>
      </c>
      <c r="D36" s="32" t="s">
        <v>19</v>
      </c>
      <c r="E36" s="32"/>
      <c r="F36" s="32"/>
      <c r="G36" s="175"/>
      <c r="H36" s="37"/>
      <c r="I36" s="38"/>
      <c r="J36" s="170"/>
      <c r="K36" s="37"/>
      <c r="L36" s="38"/>
      <c r="M36" s="170"/>
      <c r="N36" s="37"/>
      <c r="O36" s="37"/>
      <c r="P36" s="171"/>
      <c r="Q36" s="37">
        <v>43.3</v>
      </c>
      <c r="R36" s="37"/>
      <c r="S36" s="171"/>
      <c r="T36" s="37">
        <v>43.3</v>
      </c>
      <c r="U36" s="37"/>
      <c r="V36" s="171"/>
      <c r="W36" s="37"/>
      <c r="X36" s="37"/>
      <c r="Y36" s="171"/>
      <c r="Z36" s="37"/>
      <c r="AA36" s="37"/>
      <c r="AB36" s="171"/>
      <c r="AC36" s="37"/>
      <c r="AD36" s="37"/>
      <c r="AE36" s="171"/>
    </row>
    <row r="37" spans="1:31" ht="14.65" customHeight="1" thickBot="1" x14ac:dyDescent="0.4">
      <c r="A37" s="156"/>
      <c r="B37" s="174"/>
      <c r="C37" s="25" t="s">
        <v>387</v>
      </c>
      <c r="D37" s="25" t="s">
        <v>19</v>
      </c>
      <c r="E37" s="25"/>
      <c r="F37" s="25"/>
      <c r="G37" s="165"/>
      <c r="H37" s="26"/>
      <c r="I37" s="30"/>
      <c r="J37" s="166"/>
      <c r="K37" s="26"/>
      <c r="L37" s="30"/>
      <c r="M37" s="166"/>
      <c r="N37" s="26"/>
      <c r="O37" s="26"/>
      <c r="P37" s="167"/>
      <c r="Q37" s="26">
        <v>28.8</v>
      </c>
      <c r="R37" s="26"/>
      <c r="S37" s="167"/>
      <c r="T37" s="26">
        <v>28.8</v>
      </c>
      <c r="U37" s="26"/>
      <c r="V37" s="167"/>
      <c r="W37" s="26"/>
      <c r="X37" s="26"/>
      <c r="Y37" s="167"/>
      <c r="Z37" s="26"/>
      <c r="AA37" s="26"/>
      <c r="AB37" s="167"/>
      <c r="AC37" s="26"/>
      <c r="AD37" s="26"/>
      <c r="AE37" s="167"/>
    </row>
    <row r="38" spans="1:31" ht="33" x14ac:dyDescent="0.35">
      <c r="A38" s="156"/>
      <c r="B38" s="172" t="s">
        <v>345</v>
      </c>
      <c r="C38" s="32" t="s">
        <v>432</v>
      </c>
      <c r="D38" s="32" t="s">
        <v>0</v>
      </c>
      <c r="E38" s="38"/>
      <c r="F38" s="38"/>
      <c r="G38" s="169"/>
      <c r="H38" s="38"/>
      <c r="I38" s="38"/>
      <c r="J38" s="170"/>
      <c r="K38" s="38"/>
      <c r="L38" s="38"/>
      <c r="M38" s="170"/>
      <c r="N38" s="38"/>
      <c r="O38" s="38"/>
      <c r="P38" s="171"/>
      <c r="Q38" s="64">
        <v>3050</v>
      </c>
      <c r="R38" s="38"/>
      <c r="S38" s="171"/>
      <c r="T38" s="66">
        <v>3311</v>
      </c>
      <c r="U38" s="38"/>
      <c r="V38" s="171"/>
      <c r="W38" s="38"/>
      <c r="X38" s="38"/>
      <c r="Y38" s="171"/>
      <c r="Z38" s="38"/>
      <c r="AA38" s="38"/>
      <c r="AB38" s="171"/>
      <c r="AC38" s="38"/>
      <c r="AD38" s="38"/>
      <c r="AE38" s="171"/>
    </row>
    <row r="39" spans="1:31" ht="33" x14ac:dyDescent="0.35">
      <c r="A39" s="156"/>
      <c r="B39" s="173"/>
      <c r="C39" s="4" t="s">
        <v>433</v>
      </c>
      <c r="D39" s="4" t="s">
        <v>0</v>
      </c>
      <c r="E39" s="4"/>
      <c r="F39" s="4"/>
      <c r="G39" s="157"/>
      <c r="H39" s="12"/>
      <c r="I39" s="12"/>
      <c r="J39" s="149"/>
      <c r="K39" s="12"/>
      <c r="L39" s="12"/>
      <c r="M39" s="149"/>
      <c r="N39" s="7"/>
      <c r="O39" s="7"/>
      <c r="P39" s="139"/>
      <c r="Q39" s="62">
        <v>2010</v>
      </c>
      <c r="R39" s="7"/>
      <c r="S39" s="139"/>
      <c r="T39" s="63">
        <v>2077</v>
      </c>
      <c r="U39" s="7"/>
      <c r="V39" s="139"/>
      <c r="W39" s="7"/>
      <c r="X39" s="7"/>
      <c r="Y39" s="139"/>
      <c r="Z39" s="7"/>
      <c r="AA39" s="7"/>
      <c r="AB39" s="139"/>
      <c r="AC39" s="7"/>
      <c r="AD39" s="7"/>
      <c r="AE39" s="139"/>
    </row>
    <row r="40" spans="1:31" ht="33.75" thickBot="1" x14ac:dyDescent="0.4">
      <c r="A40" s="156"/>
      <c r="B40" s="174"/>
      <c r="C40" s="25" t="s">
        <v>434</v>
      </c>
      <c r="D40" s="25" t="s">
        <v>0</v>
      </c>
      <c r="E40" s="25"/>
      <c r="F40" s="25"/>
      <c r="G40" s="163"/>
      <c r="H40" s="29"/>
      <c r="I40" s="29"/>
      <c r="J40" s="166"/>
      <c r="K40" s="29"/>
      <c r="L40" s="29"/>
      <c r="M40" s="166"/>
      <c r="N40" s="30"/>
      <c r="O40" s="30"/>
      <c r="P40" s="167"/>
      <c r="Q40" s="65">
        <v>1490</v>
      </c>
      <c r="R40" s="30"/>
      <c r="S40" s="167"/>
      <c r="T40" s="67">
        <v>1574</v>
      </c>
      <c r="U40" s="30"/>
      <c r="V40" s="167"/>
      <c r="W40" s="29"/>
      <c r="X40" s="29"/>
      <c r="Y40" s="167"/>
      <c r="Z40" s="29"/>
      <c r="AA40" s="29"/>
      <c r="AB40" s="167"/>
      <c r="AC40" s="29"/>
      <c r="AD40" s="29"/>
      <c r="AE40" s="167"/>
    </row>
    <row r="41" spans="1:31" x14ac:dyDescent="0.35">
      <c r="A41" s="182" t="s">
        <v>27</v>
      </c>
      <c r="B41" s="154" t="s">
        <v>350</v>
      </c>
      <c r="C41" s="23" t="s">
        <v>389</v>
      </c>
      <c r="D41" s="28" t="s">
        <v>2</v>
      </c>
      <c r="E41" s="24"/>
      <c r="F41" s="24"/>
      <c r="G41" s="171"/>
      <c r="H41" s="24"/>
      <c r="I41" s="28"/>
      <c r="J41" s="171"/>
      <c r="K41" s="24"/>
      <c r="L41" s="28"/>
      <c r="M41" s="171"/>
      <c r="N41" s="24"/>
      <c r="O41" s="24"/>
      <c r="P41" s="171"/>
      <c r="Q41" s="24"/>
      <c r="R41" s="24"/>
      <c r="S41" s="171"/>
      <c r="T41" s="24"/>
      <c r="U41" s="24"/>
      <c r="V41" s="171"/>
      <c r="W41" s="24"/>
      <c r="X41" s="24"/>
      <c r="Y41" s="171"/>
      <c r="Z41" s="24"/>
      <c r="AA41" s="24"/>
      <c r="AB41" s="171"/>
      <c r="AC41" s="24"/>
      <c r="AD41" s="24"/>
      <c r="AE41" s="171"/>
    </row>
    <row r="42" spans="1:31" x14ac:dyDescent="0.35">
      <c r="A42" s="156"/>
      <c r="B42" s="157"/>
      <c r="C42" s="4" t="s">
        <v>392</v>
      </c>
      <c r="D42" s="7" t="s">
        <v>2</v>
      </c>
      <c r="E42" s="7"/>
      <c r="F42" s="7"/>
      <c r="G42" s="139"/>
      <c r="H42" s="10"/>
      <c r="I42" s="7"/>
      <c r="J42" s="139"/>
      <c r="K42" s="10"/>
      <c r="L42" s="7"/>
      <c r="M42" s="139"/>
      <c r="N42" s="7"/>
      <c r="O42" s="7"/>
      <c r="P42" s="139"/>
      <c r="Q42" s="10"/>
      <c r="R42" s="10"/>
      <c r="S42" s="139"/>
      <c r="T42" s="10"/>
      <c r="U42" s="10"/>
      <c r="V42" s="139"/>
      <c r="W42" s="7"/>
      <c r="X42" s="7"/>
      <c r="Y42" s="139"/>
      <c r="Z42" s="7"/>
      <c r="AA42" s="7"/>
      <c r="AB42" s="139"/>
      <c r="AC42" s="7"/>
      <c r="AD42" s="7"/>
      <c r="AE42" s="139"/>
    </row>
    <row r="43" spans="1:31" x14ac:dyDescent="0.35">
      <c r="A43" s="156"/>
      <c r="B43" s="157"/>
      <c r="C43" s="9" t="s">
        <v>28</v>
      </c>
      <c r="D43" s="7" t="s">
        <v>2</v>
      </c>
      <c r="E43" s="10"/>
      <c r="F43" s="10"/>
      <c r="G43" s="141"/>
      <c r="H43" s="7"/>
      <c r="I43" s="7"/>
      <c r="J43" s="141"/>
      <c r="K43" s="7"/>
      <c r="L43" s="7"/>
      <c r="M43" s="141"/>
      <c r="N43" s="10"/>
      <c r="O43" s="10"/>
      <c r="P43" s="141"/>
      <c r="Q43" s="10"/>
      <c r="R43" s="10"/>
      <c r="S43" s="141"/>
      <c r="T43" s="10"/>
      <c r="U43" s="10"/>
      <c r="V43" s="141"/>
      <c r="W43" s="7"/>
      <c r="X43" s="7"/>
      <c r="Y43" s="141"/>
      <c r="Z43" s="7"/>
      <c r="AA43" s="7"/>
      <c r="AB43" s="141"/>
      <c r="AC43" s="7"/>
      <c r="AD43" s="7"/>
      <c r="AE43" s="141"/>
    </row>
    <row r="44" spans="1:31" x14ac:dyDescent="0.35">
      <c r="A44" s="156"/>
      <c r="B44" s="157" t="s">
        <v>333</v>
      </c>
      <c r="C44" s="16" t="s">
        <v>393</v>
      </c>
      <c r="D44" s="7" t="s">
        <v>2</v>
      </c>
      <c r="E44" s="7"/>
      <c r="F44" s="7"/>
      <c r="G44" s="140"/>
      <c r="H44" s="15"/>
      <c r="I44" s="11"/>
      <c r="J44" s="180"/>
      <c r="K44" s="15"/>
      <c r="L44" s="11"/>
      <c r="M44" s="180"/>
      <c r="N44" s="7"/>
      <c r="O44" s="7"/>
      <c r="P44" s="140"/>
      <c r="Q44" s="7"/>
      <c r="R44" s="7"/>
      <c r="S44" s="140"/>
      <c r="T44" s="7"/>
      <c r="U44" s="7"/>
      <c r="V44" s="140"/>
      <c r="W44" s="7"/>
      <c r="X44" s="7"/>
      <c r="Y44" s="140"/>
      <c r="Z44" s="7"/>
      <c r="AA44" s="7"/>
      <c r="AB44" s="140"/>
      <c r="AC44" s="7"/>
      <c r="AD44" s="7"/>
      <c r="AE44" s="140"/>
    </row>
    <row r="45" spans="1:31" ht="33" x14ac:dyDescent="0.35">
      <c r="A45" s="156"/>
      <c r="B45" s="157"/>
      <c r="C45" s="4" t="s">
        <v>394</v>
      </c>
      <c r="D45" s="7" t="s">
        <v>2</v>
      </c>
      <c r="E45" s="10"/>
      <c r="F45" s="10"/>
      <c r="G45" s="139"/>
      <c r="H45" s="10"/>
      <c r="I45" s="7"/>
      <c r="J45" s="181"/>
      <c r="K45" s="10"/>
      <c r="L45" s="7"/>
      <c r="M45" s="181"/>
      <c r="N45" s="7"/>
      <c r="O45" s="7"/>
      <c r="P45" s="139"/>
      <c r="Q45" s="10"/>
      <c r="R45" s="10"/>
      <c r="S45" s="139"/>
      <c r="T45" s="10"/>
      <c r="U45" s="10"/>
      <c r="V45" s="139"/>
      <c r="W45" s="10"/>
      <c r="X45" s="10"/>
      <c r="Y45" s="139"/>
      <c r="Z45" s="7"/>
      <c r="AA45" s="7"/>
      <c r="AB45" s="139"/>
      <c r="AC45" s="7"/>
      <c r="AD45" s="7"/>
      <c r="AE45" s="139"/>
    </row>
    <row r="46" spans="1:31" s="14" customFormat="1" x14ac:dyDescent="0.25">
      <c r="A46" s="156"/>
      <c r="B46" s="157"/>
      <c r="C46" s="4" t="s">
        <v>106</v>
      </c>
      <c r="D46" s="7" t="s">
        <v>2</v>
      </c>
      <c r="E46" s="7"/>
      <c r="F46" s="7"/>
      <c r="G46" s="139"/>
      <c r="H46" s="7"/>
      <c r="I46" s="7"/>
      <c r="J46" s="181"/>
      <c r="K46" s="7"/>
      <c r="L46" s="7"/>
      <c r="M46" s="181"/>
      <c r="N46" s="7"/>
      <c r="O46" s="7"/>
      <c r="P46" s="139"/>
      <c r="Q46" s="12"/>
      <c r="R46" s="12"/>
      <c r="S46" s="139"/>
      <c r="T46" s="12"/>
      <c r="U46" s="12"/>
      <c r="V46" s="139"/>
      <c r="W46" s="7"/>
      <c r="X46" s="7"/>
      <c r="Y46" s="139"/>
      <c r="Z46" s="12"/>
      <c r="AA46" s="12"/>
      <c r="AB46" s="139"/>
      <c r="AC46" s="12"/>
      <c r="AD46" s="12"/>
      <c r="AE46" s="139"/>
    </row>
    <row r="47" spans="1:31" x14ac:dyDescent="0.35">
      <c r="A47" s="156"/>
      <c r="B47" s="157"/>
      <c r="C47" s="4" t="s">
        <v>395</v>
      </c>
      <c r="D47" s="7" t="s">
        <v>2</v>
      </c>
      <c r="E47" s="10"/>
      <c r="F47" s="10"/>
      <c r="G47" s="139"/>
      <c r="H47" s="10"/>
      <c r="I47" s="7"/>
      <c r="J47" s="181"/>
      <c r="K47" s="10"/>
      <c r="L47" s="7"/>
      <c r="M47" s="181"/>
      <c r="N47" s="10"/>
      <c r="O47" s="10"/>
      <c r="P47" s="139"/>
      <c r="Q47" s="10"/>
      <c r="R47" s="10"/>
      <c r="S47" s="139"/>
      <c r="T47" s="10"/>
      <c r="U47" s="10"/>
      <c r="V47" s="139"/>
      <c r="W47" s="10"/>
      <c r="X47" s="10"/>
      <c r="Y47" s="139"/>
      <c r="Z47" s="10"/>
      <c r="AA47" s="10"/>
      <c r="AB47" s="139"/>
      <c r="AC47" s="10"/>
      <c r="AD47" s="10"/>
      <c r="AE47" s="139"/>
    </row>
    <row r="48" spans="1:31" x14ac:dyDescent="0.35">
      <c r="A48" s="156"/>
      <c r="B48" s="157"/>
      <c r="C48" s="4" t="s">
        <v>396</v>
      </c>
      <c r="D48" s="7" t="s">
        <v>2</v>
      </c>
      <c r="E48" s="7"/>
      <c r="F48" s="7"/>
      <c r="G48" s="139"/>
      <c r="H48" s="10"/>
      <c r="I48" s="7"/>
      <c r="J48" s="181"/>
      <c r="K48" s="10"/>
      <c r="L48" s="7"/>
      <c r="M48" s="181"/>
      <c r="N48" s="7"/>
      <c r="O48" s="7"/>
      <c r="P48" s="139"/>
      <c r="Q48" s="7"/>
      <c r="R48" s="7"/>
      <c r="S48" s="139"/>
      <c r="T48" s="7"/>
      <c r="U48" s="7"/>
      <c r="V48" s="139"/>
      <c r="W48" s="10"/>
      <c r="X48" s="10"/>
      <c r="Y48" s="139"/>
      <c r="Z48" s="7"/>
      <c r="AA48" s="7"/>
      <c r="AB48" s="139"/>
      <c r="AC48" s="7"/>
      <c r="AD48" s="7"/>
      <c r="AE48" s="139"/>
    </row>
    <row r="49" spans="1:43" ht="17.25" thickBot="1" x14ac:dyDescent="0.4">
      <c r="A49" s="156"/>
      <c r="B49" s="157"/>
      <c r="C49" s="4" t="s">
        <v>397</v>
      </c>
      <c r="D49" s="7" t="s">
        <v>2</v>
      </c>
      <c r="E49" s="10"/>
      <c r="F49" s="10"/>
      <c r="G49" s="139"/>
      <c r="H49" s="10"/>
      <c r="I49" s="7"/>
      <c r="J49" s="181"/>
      <c r="K49" s="10"/>
      <c r="L49" s="7"/>
      <c r="M49" s="181"/>
      <c r="N49" s="10"/>
      <c r="O49" s="10"/>
      <c r="P49" s="139"/>
      <c r="Q49" s="10"/>
      <c r="R49" s="10"/>
      <c r="S49" s="139"/>
      <c r="T49" s="10"/>
      <c r="U49" s="10"/>
      <c r="V49" s="139"/>
      <c r="W49" s="10"/>
      <c r="X49" s="10"/>
      <c r="Y49" s="139"/>
      <c r="Z49" s="7"/>
      <c r="AA49" s="7"/>
      <c r="AB49" s="139"/>
      <c r="AC49" s="7"/>
      <c r="AD49" s="7"/>
      <c r="AE49" s="139"/>
    </row>
    <row r="50" spans="1:43" x14ac:dyDescent="0.35">
      <c r="A50" s="156"/>
      <c r="B50" s="157"/>
      <c r="C50" s="16" t="s">
        <v>35</v>
      </c>
      <c r="D50" s="7" t="s">
        <v>2</v>
      </c>
      <c r="E50" s="7"/>
      <c r="F50" s="7"/>
      <c r="G50" s="139"/>
      <c r="H50" s="7"/>
      <c r="I50" s="7"/>
      <c r="J50" s="181"/>
      <c r="K50" s="7"/>
      <c r="L50" s="7"/>
      <c r="M50" s="181"/>
      <c r="N50" s="7"/>
      <c r="O50" s="7"/>
      <c r="P50" s="139"/>
      <c r="Q50" s="17"/>
      <c r="R50" s="54"/>
      <c r="S50" s="139"/>
      <c r="T50" s="17"/>
      <c r="U50" s="54"/>
      <c r="V50" s="139"/>
      <c r="W50" s="7"/>
      <c r="X50" s="7"/>
      <c r="Y50" s="139"/>
      <c r="Z50" s="7"/>
      <c r="AA50" s="7"/>
      <c r="AB50" s="139"/>
      <c r="AC50" s="7"/>
      <c r="AD50" s="7"/>
      <c r="AE50" s="139"/>
      <c r="AG50" s="51"/>
      <c r="AH50" s="45"/>
      <c r="AI50" s="45"/>
      <c r="AJ50" s="45"/>
      <c r="AK50" s="45"/>
      <c r="AL50" s="45"/>
      <c r="AM50" s="45"/>
      <c r="AN50" s="45"/>
      <c r="AO50" s="45"/>
      <c r="AP50" s="45"/>
      <c r="AQ50" s="46"/>
    </row>
    <row r="51" spans="1:43" x14ac:dyDescent="0.35">
      <c r="A51" s="156"/>
      <c r="B51" s="157"/>
      <c r="C51" s="4" t="s">
        <v>107</v>
      </c>
      <c r="D51" s="7" t="s">
        <v>2</v>
      </c>
      <c r="E51" s="10"/>
      <c r="F51" s="10"/>
      <c r="G51" s="139"/>
      <c r="H51" s="10"/>
      <c r="I51" s="7"/>
      <c r="J51" s="181"/>
      <c r="K51" s="10"/>
      <c r="L51" s="7"/>
      <c r="M51" s="181"/>
      <c r="N51" s="10"/>
      <c r="O51" s="10"/>
      <c r="P51" s="139"/>
      <c r="Q51" s="10"/>
      <c r="R51" s="10"/>
      <c r="S51" s="139"/>
      <c r="T51" s="10"/>
      <c r="U51" s="10"/>
      <c r="V51" s="139"/>
      <c r="W51" s="10"/>
      <c r="X51" s="10"/>
      <c r="Y51" s="139"/>
      <c r="Z51" s="10"/>
      <c r="AA51" s="10"/>
      <c r="AB51" s="139"/>
      <c r="AC51" s="10"/>
      <c r="AD51" s="10"/>
      <c r="AE51" s="139"/>
      <c r="AG51" s="47" t="s">
        <v>350</v>
      </c>
      <c r="AQ51" s="48"/>
    </row>
    <row r="52" spans="1:43" x14ac:dyDescent="0.35">
      <c r="A52" s="156"/>
      <c r="B52" s="157"/>
      <c r="C52" s="4" t="s">
        <v>29</v>
      </c>
      <c r="D52" s="7" t="s">
        <v>2</v>
      </c>
      <c r="E52" s="7"/>
      <c r="F52" s="7"/>
      <c r="G52" s="139"/>
      <c r="H52" s="7"/>
      <c r="I52" s="7"/>
      <c r="J52" s="181"/>
      <c r="K52" s="7"/>
      <c r="L52" s="7"/>
      <c r="M52" s="181"/>
      <c r="N52" s="7"/>
      <c r="O52" s="7"/>
      <c r="P52" s="139"/>
      <c r="Q52" s="10"/>
      <c r="R52" s="10"/>
      <c r="S52" s="139"/>
      <c r="T52" s="10"/>
      <c r="U52" s="10"/>
      <c r="V52" s="139"/>
      <c r="W52" s="7"/>
      <c r="X52" s="7"/>
      <c r="Y52" s="139"/>
      <c r="Z52" s="7"/>
      <c r="AA52" s="7"/>
      <c r="AB52" s="139"/>
      <c r="AC52" s="7"/>
      <c r="AD52" s="7"/>
      <c r="AE52" s="139"/>
      <c r="AG52" s="47" t="s">
        <v>333</v>
      </c>
      <c r="AQ52" s="48"/>
    </row>
    <row r="53" spans="1:43" x14ac:dyDescent="0.35">
      <c r="A53" s="156"/>
      <c r="B53" s="157"/>
      <c r="C53" s="4" t="s">
        <v>108</v>
      </c>
      <c r="D53" s="7" t="s">
        <v>2</v>
      </c>
      <c r="E53" s="10"/>
      <c r="F53" s="10"/>
      <c r="G53" s="139"/>
      <c r="H53" s="10"/>
      <c r="I53" s="7"/>
      <c r="J53" s="181"/>
      <c r="K53" s="10"/>
      <c r="L53" s="7"/>
      <c r="M53" s="181"/>
      <c r="N53" s="10"/>
      <c r="O53" s="10"/>
      <c r="P53" s="139"/>
      <c r="Q53" s="10"/>
      <c r="R53" s="10"/>
      <c r="S53" s="139"/>
      <c r="T53" s="10"/>
      <c r="U53" s="10"/>
      <c r="V53" s="139"/>
      <c r="W53" s="10"/>
      <c r="X53" s="10"/>
      <c r="Y53" s="139"/>
      <c r="Z53" s="7"/>
      <c r="AA53" s="7"/>
      <c r="AB53" s="139"/>
      <c r="AC53" s="7"/>
      <c r="AD53" s="7"/>
      <c r="AE53" s="139"/>
      <c r="AG53" s="47" t="s">
        <v>355</v>
      </c>
      <c r="AQ53" s="48"/>
    </row>
    <row r="54" spans="1:43" x14ac:dyDescent="0.35">
      <c r="A54" s="156"/>
      <c r="B54" s="157"/>
      <c r="C54" s="4" t="s">
        <v>398</v>
      </c>
      <c r="D54" s="7" t="s">
        <v>2</v>
      </c>
      <c r="E54" s="10"/>
      <c r="F54" s="10"/>
      <c r="G54" s="141"/>
      <c r="H54" s="10"/>
      <c r="I54" s="7"/>
      <c r="J54" s="182"/>
      <c r="K54" s="10"/>
      <c r="L54" s="7"/>
      <c r="M54" s="182"/>
      <c r="N54" s="13"/>
      <c r="O54" s="13"/>
      <c r="P54" s="141"/>
      <c r="Q54" s="10"/>
      <c r="R54" s="10"/>
      <c r="S54" s="141"/>
      <c r="T54" s="10"/>
      <c r="U54" s="10"/>
      <c r="V54" s="141"/>
      <c r="W54" s="7"/>
      <c r="X54" s="7"/>
      <c r="Y54" s="141"/>
      <c r="Z54" s="10"/>
      <c r="AA54" s="10"/>
      <c r="AB54" s="141"/>
      <c r="AC54" s="10"/>
      <c r="AD54" s="10"/>
      <c r="AE54" s="141"/>
      <c r="AG54" s="47" t="s">
        <v>109</v>
      </c>
      <c r="AQ54" s="48"/>
    </row>
    <row r="55" spans="1:43" ht="17.25" thickBot="1" x14ac:dyDescent="0.4">
      <c r="A55" s="156"/>
      <c r="B55" s="157" t="s">
        <v>355</v>
      </c>
      <c r="C55" s="4" t="s">
        <v>110</v>
      </c>
      <c r="D55" s="7" t="s">
        <v>2</v>
      </c>
      <c r="E55" s="7"/>
      <c r="F55" s="7"/>
      <c r="G55" s="140"/>
      <c r="H55" s="7"/>
      <c r="I55" s="7"/>
      <c r="J55" s="140"/>
      <c r="K55" s="7"/>
      <c r="L55" s="7"/>
      <c r="M55" s="140"/>
      <c r="N55" s="7"/>
      <c r="O55" s="7"/>
      <c r="P55" s="140"/>
      <c r="Q55" s="13"/>
      <c r="R55" s="12"/>
      <c r="S55" s="155"/>
      <c r="T55" s="13"/>
      <c r="U55" s="12"/>
      <c r="V55" s="155"/>
      <c r="W55" s="7"/>
      <c r="X55" s="7"/>
      <c r="Y55" s="140"/>
      <c r="Z55" s="7"/>
      <c r="AA55" s="7"/>
      <c r="AB55" s="140"/>
      <c r="AC55" s="7"/>
      <c r="AD55" s="7"/>
      <c r="AE55" s="140"/>
      <c r="AG55" s="52" t="s">
        <v>361</v>
      </c>
      <c r="AH55" s="31"/>
      <c r="AI55" s="31"/>
      <c r="AJ55" s="31"/>
      <c r="AK55" s="31"/>
      <c r="AL55" s="31"/>
      <c r="AM55" s="31"/>
      <c r="AN55" s="31"/>
      <c r="AO55" s="31"/>
      <c r="AP55" s="31"/>
      <c r="AQ55" s="53"/>
    </row>
    <row r="56" spans="1:43" x14ac:dyDescent="0.35">
      <c r="A56" s="156"/>
      <c r="B56" s="157"/>
      <c r="C56" s="4" t="s">
        <v>36</v>
      </c>
      <c r="D56" s="7" t="s">
        <v>2</v>
      </c>
      <c r="E56" s="7"/>
      <c r="F56" s="7"/>
      <c r="G56" s="139"/>
      <c r="H56" s="7"/>
      <c r="I56" s="7"/>
      <c r="J56" s="139"/>
      <c r="K56" s="7"/>
      <c r="L56" s="7"/>
      <c r="M56" s="139"/>
      <c r="N56" s="10"/>
      <c r="O56" s="10"/>
      <c r="P56" s="139"/>
      <c r="Q56" s="7"/>
      <c r="R56" s="7"/>
      <c r="S56" s="150"/>
      <c r="T56" s="7"/>
      <c r="U56" s="7"/>
      <c r="V56" s="150"/>
      <c r="W56" s="10"/>
      <c r="X56" s="10"/>
      <c r="Y56" s="139"/>
      <c r="Z56" s="7"/>
      <c r="AA56" s="7"/>
      <c r="AB56" s="139"/>
      <c r="AC56" s="7"/>
      <c r="AD56" s="7"/>
      <c r="AE56" s="139"/>
      <c r="AG56" s="60" t="s">
        <v>382</v>
      </c>
      <c r="AH56" s="60" t="e">
        <v>#DIV/0!</v>
      </c>
      <c r="AI56" s="60" t="e">
        <v>#DIV/0!</v>
      </c>
      <c r="AJ56" s="60" t="e">
        <v>#DIV/0!</v>
      </c>
      <c r="AK56" s="60" t="e">
        <v>#DIV/0!</v>
      </c>
      <c r="AL56" s="60" t="e">
        <v>#DIV/0!</v>
      </c>
      <c r="AM56" s="60" t="e">
        <v>#DIV/0!</v>
      </c>
      <c r="AN56" s="60" t="e">
        <v>#DIV/0!</v>
      </c>
      <c r="AO56" s="60" t="e">
        <v>#DIV/0!</v>
      </c>
      <c r="AP56" s="60" t="e">
        <v>#DIV/0!</v>
      </c>
      <c r="AQ56" s="60" t="e">
        <v>#DIV/0!</v>
      </c>
    </row>
    <row r="57" spans="1:43" x14ac:dyDescent="0.35">
      <c r="A57" s="156"/>
      <c r="B57" s="157"/>
      <c r="C57" s="4" t="s">
        <v>456</v>
      </c>
      <c r="D57" s="7" t="s">
        <v>2</v>
      </c>
      <c r="E57" s="10"/>
      <c r="F57" s="10"/>
      <c r="G57" s="139"/>
      <c r="H57" s="10"/>
      <c r="I57" s="7"/>
      <c r="J57" s="139"/>
      <c r="K57" s="10"/>
      <c r="L57" s="7"/>
      <c r="M57" s="139"/>
      <c r="N57" s="7"/>
      <c r="O57" s="7"/>
      <c r="P57" s="139"/>
      <c r="Q57" s="10"/>
      <c r="R57" s="10"/>
      <c r="S57" s="150"/>
      <c r="T57" s="10"/>
      <c r="U57" s="10"/>
      <c r="V57" s="150"/>
      <c r="W57" s="10"/>
      <c r="X57" s="10"/>
      <c r="Y57" s="139"/>
      <c r="Z57" s="10"/>
      <c r="AA57" s="10"/>
      <c r="AB57" s="139"/>
      <c r="AC57" s="10"/>
      <c r="AD57" s="10"/>
      <c r="AE57" s="139"/>
    </row>
    <row r="58" spans="1:43" x14ac:dyDescent="0.35">
      <c r="A58" s="156"/>
      <c r="B58" s="157"/>
      <c r="C58" s="4" t="s">
        <v>400</v>
      </c>
      <c r="D58" s="7" t="s">
        <v>2</v>
      </c>
      <c r="E58" s="7"/>
      <c r="F58" s="7"/>
      <c r="G58" s="139"/>
      <c r="H58" s="7"/>
      <c r="I58" s="7"/>
      <c r="J58" s="139"/>
      <c r="K58" s="7"/>
      <c r="L58" s="7"/>
      <c r="M58" s="139"/>
      <c r="N58" s="7"/>
      <c r="O58" s="7"/>
      <c r="P58" s="139"/>
      <c r="Q58" s="10"/>
      <c r="R58" s="10"/>
      <c r="S58" s="150"/>
      <c r="T58" s="10"/>
      <c r="U58" s="10"/>
      <c r="V58" s="150"/>
      <c r="W58" s="7"/>
      <c r="X58" s="7"/>
      <c r="Y58" s="139"/>
      <c r="Z58" s="10"/>
      <c r="AA58" s="10"/>
      <c r="AB58" s="139"/>
      <c r="AC58" s="10"/>
      <c r="AD58" s="10"/>
      <c r="AE58" s="139"/>
    </row>
    <row r="59" spans="1:43" x14ac:dyDescent="0.35">
      <c r="A59" s="156"/>
      <c r="B59" s="157"/>
      <c r="C59" s="4" t="s">
        <v>401</v>
      </c>
      <c r="D59" s="7" t="s">
        <v>2</v>
      </c>
      <c r="E59" s="10"/>
      <c r="F59" s="10"/>
      <c r="G59" s="139"/>
      <c r="H59" s="10"/>
      <c r="I59" s="7"/>
      <c r="J59" s="139"/>
      <c r="K59" s="10"/>
      <c r="L59" s="7"/>
      <c r="M59" s="139"/>
      <c r="N59" s="10"/>
      <c r="O59" s="10"/>
      <c r="P59" s="139"/>
      <c r="Q59" s="10"/>
      <c r="R59" s="10"/>
      <c r="S59" s="150"/>
      <c r="T59" s="10"/>
      <c r="U59" s="10"/>
      <c r="V59" s="150"/>
      <c r="W59" s="7"/>
      <c r="X59" s="7"/>
      <c r="Y59" s="139"/>
      <c r="Z59" s="10"/>
      <c r="AA59" s="10"/>
      <c r="AB59" s="139"/>
      <c r="AC59" s="10"/>
      <c r="AD59" s="10"/>
      <c r="AE59" s="139"/>
    </row>
    <row r="60" spans="1:43" x14ac:dyDescent="0.35">
      <c r="A60" s="156"/>
      <c r="B60" s="157"/>
      <c r="C60" s="4" t="s">
        <v>402</v>
      </c>
      <c r="D60" s="7" t="s">
        <v>2</v>
      </c>
      <c r="E60" s="7"/>
      <c r="F60" s="7"/>
      <c r="G60" s="139"/>
      <c r="H60" s="10"/>
      <c r="I60" s="7"/>
      <c r="J60" s="139"/>
      <c r="K60" s="10"/>
      <c r="L60" s="7"/>
      <c r="M60" s="139"/>
      <c r="N60" s="10"/>
      <c r="O60" s="10"/>
      <c r="P60" s="139"/>
      <c r="Q60" s="10"/>
      <c r="R60" s="10"/>
      <c r="S60" s="150"/>
      <c r="T60" s="10"/>
      <c r="U60" s="10"/>
      <c r="V60" s="150"/>
      <c r="W60" s="10"/>
      <c r="X60" s="10"/>
      <c r="Y60" s="139"/>
      <c r="Z60" s="7"/>
      <c r="AA60" s="7"/>
      <c r="AB60" s="139"/>
      <c r="AC60" s="7"/>
      <c r="AD60" s="7"/>
      <c r="AE60" s="139"/>
    </row>
    <row r="61" spans="1:43" x14ac:dyDescent="0.35">
      <c r="A61" s="156"/>
      <c r="B61" s="157"/>
      <c r="C61" s="4" t="s">
        <v>457</v>
      </c>
      <c r="D61" s="7" t="s">
        <v>2</v>
      </c>
      <c r="E61" s="7"/>
      <c r="F61" s="7"/>
      <c r="G61" s="139"/>
      <c r="H61" s="7"/>
      <c r="I61" s="7"/>
      <c r="J61" s="139"/>
      <c r="K61" s="7"/>
      <c r="L61" s="7"/>
      <c r="M61" s="139"/>
      <c r="N61" s="7"/>
      <c r="O61" s="7"/>
      <c r="P61" s="139"/>
      <c r="Q61" s="12"/>
      <c r="R61" s="12"/>
      <c r="S61" s="150"/>
      <c r="T61" s="12"/>
      <c r="U61" s="12"/>
      <c r="V61" s="150"/>
      <c r="W61" s="7"/>
      <c r="X61" s="7"/>
      <c r="Y61" s="139"/>
      <c r="Z61" s="12"/>
      <c r="AA61" s="12"/>
      <c r="AB61" s="139"/>
      <c r="AC61" s="12"/>
      <c r="AD61" s="12"/>
      <c r="AE61" s="139"/>
    </row>
    <row r="62" spans="1:43" x14ac:dyDescent="0.35">
      <c r="A62" s="156"/>
      <c r="B62" s="157"/>
      <c r="C62" s="4" t="s">
        <v>458</v>
      </c>
      <c r="D62" s="7" t="s">
        <v>2</v>
      </c>
      <c r="E62" s="12"/>
      <c r="F62" s="12"/>
      <c r="G62" s="139"/>
      <c r="H62" s="12"/>
      <c r="I62" s="12"/>
      <c r="J62" s="139"/>
      <c r="K62" s="12"/>
      <c r="L62" s="12"/>
      <c r="M62" s="139"/>
      <c r="N62" s="12"/>
      <c r="O62" s="12"/>
      <c r="P62" s="139"/>
      <c r="Q62" s="7"/>
      <c r="R62" s="7"/>
      <c r="S62" s="150"/>
      <c r="T62" s="7"/>
      <c r="U62" s="7"/>
      <c r="V62" s="150"/>
      <c r="W62" s="7"/>
      <c r="X62" s="7"/>
      <c r="Y62" s="139"/>
      <c r="Z62" s="7"/>
      <c r="AA62" s="7"/>
      <c r="AB62" s="139"/>
      <c r="AC62" s="7"/>
      <c r="AD62" s="7"/>
      <c r="AE62" s="139"/>
    </row>
    <row r="63" spans="1:43" x14ac:dyDescent="0.35">
      <c r="A63" s="156"/>
      <c r="B63" s="157"/>
      <c r="C63" s="4" t="s">
        <v>403</v>
      </c>
      <c r="D63" s="7" t="s">
        <v>2</v>
      </c>
      <c r="E63" s="7"/>
      <c r="F63" s="7"/>
      <c r="G63" s="139"/>
      <c r="H63" s="13"/>
      <c r="I63" s="12"/>
      <c r="J63" s="139"/>
      <c r="K63" s="13"/>
      <c r="L63" s="12"/>
      <c r="M63" s="139"/>
      <c r="N63" s="7"/>
      <c r="O63" s="7"/>
      <c r="P63" s="139"/>
      <c r="Q63" s="7"/>
      <c r="R63" s="7"/>
      <c r="S63" s="150"/>
      <c r="T63" s="7"/>
      <c r="U63" s="7"/>
      <c r="V63" s="150"/>
      <c r="W63" s="7"/>
      <c r="X63" s="7"/>
      <c r="Y63" s="139"/>
      <c r="Z63" s="7"/>
      <c r="AA63" s="7"/>
      <c r="AB63" s="139"/>
      <c r="AC63" s="7"/>
      <c r="AD63" s="7"/>
      <c r="AE63" s="139"/>
    </row>
    <row r="64" spans="1:43" x14ac:dyDescent="0.35">
      <c r="A64" s="156"/>
      <c r="B64" s="157"/>
      <c r="C64" s="4" t="s">
        <v>459</v>
      </c>
      <c r="D64" s="7" t="s">
        <v>2</v>
      </c>
      <c r="E64" s="7"/>
      <c r="F64" s="7"/>
      <c r="G64" s="139"/>
      <c r="H64" s="10"/>
      <c r="I64" s="7"/>
      <c r="J64" s="139"/>
      <c r="K64" s="10"/>
      <c r="L64" s="7"/>
      <c r="M64" s="139"/>
      <c r="N64" s="7"/>
      <c r="O64" s="7"/>
      <c r="P64" s="139"/>
      <c r="Q64" s="7"/>
      <c r="R64" s="7"/>
      <c r="S64" s="150"/>
      <c r="T64" s="7"/>
      <c r="U64" s="7"/>
      <c r="V64" s="150"/>
      <c r="W64" s="7"/>
      <c r="X64" s="7"/>
      <c r="Y64" s="139"/>
      <c r="Z64" s="7"/>
      <c r="AA64" s="7"/>
      <c r="AB64" s="139"/>
      <c r="AC64" s="7"/>
      <c r="AD64" s="7"/>
      <c r="AE64" s="139"/>
    </row>
    <row r="65" spans="1:31" x14ac:dyDescent="0.35">
      <c r="A65" s="156"/>
      <c r="B65" s="157"/>
      <c r="C65" s="4" t="s">
        <v>460</v>
      </c>
      <c r="D65" s="7" t="s">
        <v>2</v>
      </c>
      <c r="E65" s="7"/>
      <c r="F65" s="7"/>
      <c r="G65" s="139"/>
      <c r="H65" s="10"/>
      <c r="I65" s="7"/>
      <c r="J65" s="139"/>
      <c r="K65" s="10"/>
      <c r="L65" s="7"/>
      <c r="M65" s="139"/>
      <c r="N65" s="7"/>
      <c r="O65" s="7"/>
      <c r="P65" s="139"/>
      <c r="Q65" s="7"/>
      <c r="R65" s="7"/>
      <c r="S65" s="150"/>
      <c r="T65" s="7"/>
      <c r="U65" s="7"/>
      <c r="V65" s="150"/>
      <c r="W65" s="7"/>
      <c r="X65" s="7"/>
      <c r="Y65" s="139"/>
      <c r="Z65" s="7"/>
      <c r="AA65" s="7"/>
      <c r="AB65" s="139"/>
      <c r="AC65" s="7"/>
      <c r="AD65" s="7"/>
      <c r="AE65" s="139"/>
    </row>
    <row r="66" spans="1:31" x14ac:dyDescent="0.35">
      <c r="A66" s="156"/>
      <c r="B66" s="157"/>
      <c r="C66" s="4" t="s">
        <v>461</v>
      </c>
      <c r="D66" s="7" t="s">
        <v>2</v>
      </c>
      <c r="E66" s="10"/>
      <c r="F66" s="10"/>
      <c r="G66" s="139"/>
      <c r="H66" s="10"/>
      <c r="I66" s="7"/>
      <c r="J66" s="139"/>
      <c r="K66" s="10"/>
      <c r="L66" s="7"/>
      <c r="M66" s="139"/>
      <c r="N66" s="10"/>
      <c r="O66" s="10"/>
      <c r="P66" s="139"/>
      <c r="Q66" s="10"/>
      <c r="R66" s="10"/>
      <c r="S66" s="150"/>
      <c r="T66" s="10"/>
      <c r="U66" s="10"/>
      <c r="V66" s="150"/>
      <c r="W66" s="10"/>
      <c r="X66" s="10"/>
      <c r="Y66" s="139"/>
      <c r="Z66" s="7"/>
      <c r="AA66" s="7"/>
      <c r="AB66" s="139"/>
      <c r="AC66" s="7"/>
      <c r="AD66" s="7"/>
      <c r="AE66" s="139"/>
    </row>
    <row r="67" spans="1:31" x14ac:dyDescent="0.35">
      <c r="A67" s="156"/>
      <c r="B67" s="157"/>
      <c r="C67" s="4" t="s">
        <v>462</v>
      </c>
      <c r="D67" s="7" t="s">
        <v>2</v>
      </c>
      <c r="E67" s="10"/>
      <c r="F67" s="10"/>
      <c r="G67" s="141"/>
      <c r="H67" s="10"/>
      <c r="I67" s="7"/>
      <c r="J67" s="141"/>
      <c r="K67" s="10"/>
      <c r="L67" s="7"/>
      <c r="M67" s="141"/>
      <c r="N67" s="10"/>
      <c r="O67" s="10"/>
      <c r="P67" s="141"/>
      <c r="Q67" s="10"/>
      <c r="R67" s="10"/>
      <c r="S67" s="151"/>
      <c r="T67" s="10"/>
      <c r="U67" s="10"/>
      <c r="V67" s="151"/>
      <c r="W67" s="10"/>
      <c r="X67" s="10"/>
      <c r="Y67" s="141"/>
      <c r="Z67" s="10"/>
      <c r="AA67" s="10"/>
      <c r="AB67" s="141"/>
      <c r="AC67" s="10"/>
      <c r="AD67" s="10"/>
      <c r="AE67" s="141"/>
    </row>
    <row r="68" spans="1:31" x14ac:dyDescent="0.35">
      <c r="A68" s="156"/>
      <c r="B68" s="162" t="s">
        <v>111</v>
      </c>
      <c r="C68" s="4" t="s">
        <v>463</v>
      </c>
      <c r="D68" s="7" t="s">
        <v>2</v>
      </c>
      <c r="E68" s="12"/>
      <c r="F68" s="12"/>
      <c r="G68" s="155"/>
      <c r="H68" s="12"/>
      <c r="I68" s="12"/>
      <c r="J68" s="155"/>
      <c r="K68" s="12"/>
      <c r="L68" s="12"/>
      <c r="M68" s="155"/>
      <c r="N68" s="7"/>
      <c r="O68" s="7"/>
      <c r="P68" s="140"/>
      <c r="Q68" s="12"/>
      <c r="R68" s="12"/>
      <c r="S68" s="155"/>
      <c r="T68" s="12"/>
      <c r="U68" s="12"/>
      <c r="V68" s="155"/>
      <c r="W68" s="12"/>
      <c r="X68" s="12"/>
      <c r="Y68" s="155"/>
      <c r="Z68" s="12"/>
      <c r="AA68" s="12"/>
      <c r="AB68" s="155"/>
      <c r="AC68" s="12"/>
      <c r="AD68" s="12"/>
      <c r="AE68" s="155"/>
    </row>
    <row r="69" spans="1:31" x14ac:dyDescent="0.35">
      <c r="A69" s="156"/>
      <c r="B69" s="162"/>
      <c r="C69" s="4" t="s">
        <v>404</v>
      </c>
      <c r="D69" s="7" t="s">
        <v>2</v>
      </c>
      <c r="E69" s="10"/>
      <c r="F69" s="10"/>
      <c r="G69" s="150"/>
      <c r="H69" s="7"/>
      <c r="I69" s="7"/>
      <c r="J69" s="150"/>
      <c r="K69" s="7"/>
      <c r="L69" s="7"/>
      <c r="M69" s="150"/>
      <c r="N69" s="7"/>
      <c r="O69" s="7"/>
      <c r="P69" s="139"/>
      <c r="Q69" s="10"/>
      <c r="R69" s="10"/>
      <c r="S69" s="150"/>
      <c r="T69" s="10"/>
      <c r="U69" s="10"/>
      <c r="V69" s="150"/>
      <c r="W69" s="10"/>
      <c r="X69" s="10"/>
      <c r="Y69" s="150"/>
      <c r="Z69" s="10"/>
      <c r="AA69" s="10"/>
      <c r="AB69" s="150"/>
      <c r="AC69" s="10"/>
      <c r="AD69" s="10"/>
      <c r="AE69" s="150"/>
    </row>
    <row r="70" spans="1:31" x14ac:dyDescent="0.35">
      <c r="A70" s="156"/>
      <c r="B70" s="162"/>
      <c r="C70" s="4" t="s">
        <v>405</v>
      </c>
      <c r="D70" s="7" t="s">
        <v>2</v>
      </c>
      <c r="E70" s="10"/>
      <c r="F70" s="10"/>
      <c r="G70" s="150"/>
      <c r="H70" s="10"/>
      <c r="I70" s="7"/>
      <c r="J70" s="150"/>
      <c r="K70" s="10"/>
      <c r="L70" s="7"/>
      <c r="M70" s="150"/>
      <c r="N70" s="7"/>
      <c r="O70" s="7"/>
      <c r="P70" s="139"/>
      <c r="Q70" s="10"/>
      <c r="R70" s="10"/>
      <c r="S70" s="150"/>
      <c r="T70" s="10"/>
      <c r="U70" s="10"/>
      <c r="V70" s="150"/>
      <c r="W70" s="10"/>
      <c r="X70" s="10"/>
      <c r="Y70" s="150"/>
      <c r="Z70" s="10"/>
      <c r="AA70" s="10"/>
      <c r="AB70" s="150"/>
      <c r="AC70" s="10"/>
      <c r="AD70" s="10"/>
      <c r="AE70" s="150"/>
    </row>
    <row r="71" spans="1:31" x14ac:dyDescent="0.35">
      <c r="A71" s="156"/>
      <c r="B71" s="162"/>
      <c r="C71" s="4" t="s">
        <v>37</v>
      </c>
      <c r="D71" s="7" t="s">
        <v>2</v>
      </c>
      <c r="E71" s="7"/>
      <c r="F71" s="7"/>
      <c r="G71" s="150"/>
      <c r="H71" s="13"/>
      <c r="I71" s="12"/>
      <c r="J71" s="150"/>
      <c r="K71" s="13"/>
      <c r="L71" s="12"/>
      <c r="M71" s="150"/>
      <c r="N71" s="7"/>
      <c r="O71" s="7"/>
      <c r="P71" s="139"/>
      <c r="Q71" s="7"/>
      <c r="R71" s="7"/>
      <c r="S71" s="150"/>
      <c r="T71" s="7"/>
      <c r="U71" s="7"/>
      <c r="V71" s="150"/>
      <c r="W71" s="7"/>
      <c r="X71" s="7"/>
      <c r="Y71" s="150"/>
      <c r="Z71" s="7"/>
      <c r="AA71" s="7"/>
      <c r="AB71" s="150"/>
      <c r="AC71" s="7"/>
      <c r="AD71" s="7"/>
      <c r="AE71" s="150"/>
    </row>
    <row r="72" spans="1:31" x14ac:dyDescent="0.35">
      <c r="A72" s="156"/>
      <c r="B72" s="162"/>
      <c r="C72" s="4" t="s">
        <v>435</v>
      </c>
      <c r="D72" s="7" t="s">
        <v>2</v>
      </c>
      <c r="E72" s="7"/>
      <c r="F72" s="7"/>
      <c r="G72" s="150"/>
      <c r="H72" s="10"/>
      <c r="I72" s="7"/>
      <c r="J72" s="150"/>
      <c r="K72" s="10"/>
      <c r="L72" s="7"/>
      <c r="M72" s="150"/>
      <c r="N72" s="7"/>
      <c r="O72" s="7"/>
      <c r="P72" s="139"/>
      <c r="Q72" s="10"/>
      <c r="R72" s="10"/>
      <c r="S72" s="150"/>
      <c r="T72" s="10"/>
      <c r="U72" s="10"/>
      <c r="V72" s="150"/>
      <c r="W72" s="10"/>
      <c r="X72" s="10"/>
      <c r="Y72" s="150"/>
      <c r="Z72" s="10"/>
      <c r="AA72" s="10"/>
      <c r="AB72" s="150"/>
      <c r="AC72" s="10"/>
      <c r="AD72" s="10"/>
      <c r="AE72" s="150"/>
    </row>
    <row r="73" spans="1:31" x14ac:dyDescent="0.35">
      <c r="A73" s="156"/>
      <c r="B73" s="162"/>
      <c r="C73" s="4" t="s">
        <v>438</v>
      </c>
      <c r="D73" s="7" t="s">
        <v>2</v>
      </c>
      <c r="E73" s="7"/>
      <c r="F73" s="7"/>
      <c r="G73" s="151"/>
      <c r="H73" s="13"/>
      <c r="I73" s="12"/>
      <c r="J73" s="151"/>
      <c r="K73" s="13"/>
      <c r="L73" s="12"/>
      <c r="M73" s="151"/>
      <c r="N73" s="7"/>
      <c r="O73" s="7"/>
      <c r="P73" s="141"/>
      <c r="Q73" s="7"/>
      <c r="R73" s="7"/>
      <c r="S73" s="151"/>
      <c r="T73" s="7"/>
      <c r="U73" s="7"/>
      <c r="V73" s="151"/>
      <c r="W73" s="7"/>
      <c r="X73" s="7"/>
      <c r="Y73" s="151"/>
      <c r="Z73" s="7"/>
      <c r="AA73" s="7"/>
      <c r="AB73" s="151"/>
      <c r="AC73" s="7"/>
      <c r="AD73" s="7"/>
      <c r="AE73" s="151"/>
    </row>
    <row r="74" spans="1:31" x14ac:dyDescent="0.35">
      <c r="A74" s="156"/>
      <c r="B74" s="149" t="s">
        <v>361</v>
      </c>
      <c r="C74" s="4" t="s">
        <v>464</v>
      </c>
      <c r="D74" s="7" t="s">
        <v>2</v>
      </c>
      <c r="E74" s="7"/>
      <c r="F74" s="7"/>
      <c r="G74" s="140"/>
      <c r="H74" s="10"/>
      <c r="I74" s="7"/>
      <c r="J74" s="140"/>
      <c r="K74" s="10"/>
      <c r="L74" s="7"/>
      <c r="M74" s="140"/>
      <c r="N74" s="7"/>
      <c r="O74" s="7"/>
      <c r="P74" s="140"/>
      <c r="Q74" s="7"/>
      <c r="R74" s="7"/>
      <c r="S74" s="140"/>
      <c r="T74" s="7"/>
      <c r="U74" s="7"/>
      <c r="V74" s="140"/>
      <c r="W74" s="10"/>
      <c r="X74" s="10"/>
      <c r="Y74" s="140"/>
      <c r="Z74" s="10"/>
      <c r="AA74" s="10"/>
      <c r="AB74" s="140"/>
      <c r="AC74" s="10"/>
      <c r="AD74" s="10"/>
      <c r="AE74" s="140"/>
    </row>
    <row r="75" spans="1:31" x14ac:dyDescent="0.35">
      <c r="A75" s="156"/>
      <c r="B75" s="149"/>
      <c r="C75" s="4" t="s">
        <v>465</v>
      </c>
      <c r="D75" s="7" t="s">
        <v>2</v>
      </c>
      <c r="E75" s="7"/>
      <c r="F75" s="7"/>
      <c r="G75" s="139"/>
      <c r="H75" s="12"/>
      <c r="I75" s="12"/>
      <c r="J75" s="139"/>
      <c r="K75" s="12"/>
      <c r="L75" s="12"/>
      <c r="M75" s="139"/>
      <c r="N75" s="12"/>
      <c r="O75" s="12"/>
      <c r="P75" s="139"/>
      <c r="Q75" s="12"/>
      <c r="R75" s="12"/>
      <c r="S75" s="139"/>
      <c r="T75" s="12"/>
      <c r="U75" s="12"/>
      <c r="V75" s="139"/>
      <c r="W75" s="13"/>
      <c r="X75" s="12"/>
      <c r="Y75" s="139"/>
      <c r="Z75" s="13"/>
      <c r="AA75" s="12"/>
      <c r="AB75" s="139"/>
      <c r="AC75" s="13"/>
      <c r="AD75" s="12"/>
      <c r="AE75" s="139"/>
    </row>
    <row r="76" spans="1:31" x14ac:dyDescent="0.35">
      <c r="A76" s="156"/>
      <c r="B76" s="149"/>
      <c r="C76" s="4" t="s">
        <v>406</v>
      </c>
      <c r="D76" s="7" t="s">
        <v>2</v>
      </c>
      <c r="E76" s="7"/>
      <c r="F76" s="7"/>
      <c r="G76" s="139"/>
      <c r="H76" s="10"/>
      <c r="I76" s="7"/>
      <c r="J76" s="139"/>
      <c r="K76" s="10"/>
      <c r="L76" s="7"/>
      <c r="M76" s="139"/>
      <c r="N76" s="10"/>
      <c r="O76" s="10"/>
      <c r="P76" s="139"/>
      <c r="Q76" s="10"/>
      <c r="R76" s="10"/>
      <c r="S76" s="139"/>
      <c r="T76" s="10"/>
      <c r="U76" s="10"/>
      <c r="V76" s="139"/>
      <c r="W76" s="10"/>
      <c r="X76" s="10"/>
      <c r="Y76" s="139"/>
      <c r="Z76" s="7"/>
      <c r="AA76" s="7"/>
      <c r="AB76" s="139"/>
      <c r="AC76" s="7"/>
      <c r="AD76" s="7"/>
      <c r="AE76" s="139"/>
    </row>
    <row r="77" spans="1:31" x14ac:dyDescent="0.35">
      <c r="A77" s="156"/>
      <c r="B77" s="149"/>
      <c r="C77" s="4" t="s">
        <v>437</v>
      </c>
      <c r="D77" s="7" t="s">
        <v>2</v>
      </c>
      <c r="E77" s="7"/>
      <c r="F77" s="7"/>
      <c r="G77" s="139"/>
      <c r="H77" s="10"/>
      <c r="I77" s="7"/>
      <c r="J77" s="139"/>
      <c r="K77" s="10"/>
      <c r="L77" s="7"/>
      <c r="M77" s="139"/>
      <c r="N77" s="10"/>
      <c r="O77" s="10"/>
      <c r="P77" s="139"/>
      <c r="Q77" s="10"/>
      <c r="R77" s="10"/>
      <c r="S77" s="139"/>
      <c r="T77" s="10"/>
      <c r="U77" s="10"/>
      <c r="V77" s="139"/>
      <c r="W77" s="10"/>
      <c r="X77" s="10"/>
      <c r="Y77" s="139"/>
      <c r="Z77" s="7"/>
      <c r="AA77" s="7"/>
      <c r="AB77" s="139"/>
      <c r="AC77" s="7"/>
      <c r="AD77" s="7"/>
      <c r="AE77" s="139"/>
    </row>
    <row r="78" spans="1:31" x14ac:dyDescent="0.35">
      <c r="A78" s="156"/>
      <c r="B78" s="149"/>
      <c r="C78" s="4" t="s">
        <v>112</v>
      </c>
      <c r="D78" s="7" t="s">
        <v>2</v>
      </c>
      <c r="E78" s="12"/>
      <c r="F78" s="12"/>
      <c r="G78" s="139"/>
      <c r="H78" s="12"/>
      <c r="I78" s="12"/>
      <c r="J78" s="139"/>
      <c r="K78" s="12"/>
      <c r="L78" s="12"/>
      <c r="M78" s="139"/>
      <c r="N78" s="12"/>
      <c r="O78" s="12"/>
      <c r="P78" s="139"/>
      <c r="Q78" s="12"/>
      <c r="R78" s="12"/>
      <c r="S78" s="139"/>
      <c r="T78" s="12"/>
      <c r="U78" s="12"/>
      <c r="V78" s="139"/>
      <c r="W78" s="12"/>
      <c r="X78" s="12"/>
      <c r="Y78" s="139"/>
      <c r="Z78" s="7"/>
      <c r="AA78" s="7"/>
      <c r="AB78" s="139"/>
      <c r="AC78" s="7"/>
      <c r="AD78" s="7"/>
      <c r="AE78" s="139"/>
    </row>
    <row r="79" spans="1:31" x14ac:dyDescent="0.35">
      <c r="A79" s="156"/>
      <c r="B79" s="149"/>
      <c r="C79" s="4" t="s">
        <v>407</v>
      </c>
      <c r="D79" s="7" t="s">
        <v>2</v>
      </c>
      <c r="E79" s="7"/>
      <c r="F79" s="7"/>
      <c r="G79" s="139"/>
      <c r="H79" s="12"/>
      <c r="I79" s="12"/>
      <c r="J79" s="139"/>
      <c r="K79" s="12"/>
      <c r="L79" s="12"/>
      <c r="M79" s="139"/>
      <c r="N79" s="7"/>
      <c r="O79" s="7"/>
      <c r="P79" s="139"/>
      <c r="Q79" s="7"/>
      <c r="R79" s="7"/>
      <c r="S79" s="139"/>
      <c r="T79" s="7"/>
      <c r="U79" s="7"/>
      <c r="V79" s="139"/>
      <c r="W79" s="7"/>
      <c r="X79" s="7"/>
      <c r="Y79" s="139"/>
      <c r="Z79" s="7"/>
      <c r="AA79" s="7"/>
      <c r="AB79" s="139"/>
      <c r="AC79" s="7"/>
      <c r="AD79" s="7"/>
      <c r="AE79" s="139"/>
    </row>
    <row r="80" spans="1:31" x14ac:dyDescent="0.35">
      <c r="A80" s="156"/>
      <c r="B80" s="149"/>
      <c r="C80" s="4" t="s">
        <v>466</v>
      </c>
      <c r="D80" s="7" t="s">
        <v>2</v>
      </c>
      <c r="E80" s="12"/>
      <c r="F80" s="12"/>
      <c r="G80" s="141"/>
      <c r="H80" s="12"/>
      <c r="I80" s="12"/>
      <c r="J80" s="141"/>
      <c r="K80" s="12"/>
      <c r="L80" s="12"/>
      <c r="M80" s="141"/>
      <c r="N80" s="12"/>
      <c r="O80" s="12"/>
      <c r="P80" s="141"/>
      <c r="Q80" s="12"/>
      <c r="R80" s="12"/>
      <c r="S80" s="141"/>
      <c r="T80" s="12"/>
      <c r="U80" s="12"/>
      <c r="V80" s="141"/>
      <c r="W80" s="7"/>
      <c r="X80" s="7"/>
      <c r="Y80" s="141"/>
      <c r="Z80" s="12"/>
      <c r="AA80" s="12"/>
      <c r="AB80" s="141"/>
      <c r="AC80" s="12"/>
      <c r="AD80" s="12"/>
      <c r="AE80" s="141"/>
    </row>
    <row r="81" spans="1:31" x14ac:dyDescent="0.35">
      <c r="A81" s="156" t="s">
        <v>408</v>
      </c>
      <c r="B81" s="4" t="s">
        <v>409</v>
      </c>
      <c r="C81" s="4"/>
      <c r="D81" s="7"/>
      <c r="E81" s="7"/>
      <c r="F81" s="7"/>
      <c r="G81" s="7"/>
      <c r="H81" s="10"/>
      <c r="I81" s="7"/>
      <c r="J81" s="7"/>
      <c r="K81" s="10"/>
      <c r="L81" s="7"/>
      <c r="M81" s="7"/>
      <c r="N81" s="10"/>
      <c r="O81" s="10"/>
      <c r="P81" s="7"/>
      <c r="Q81" s="10"/>
      <c r="R81" s="10"/>
      <c r="S81" s="7"/>
      <c r="T81" s="10"/>
      <c r="U81" s="10"/>
      <c r="V81" s="7"/>
      <c r="W81" s="10"/>
      <c r="X81" s="10"/>
      <c r="Y81" s="7"/>
      <c r="Z81" s="10"/>
      <c r="AA81" s="10"/>
      <c r="AB81" s="7"/>
      <c r="AC81" s="10"/>
      <c r="AD81" s="10"/>
      <c r="AE81" s="7"/>
    </row>
    <row r="82" spans="1:31" ht="33" x14ac:dyDescent="0.35">
      <c r="A82" s="156"/>
      <c r="B82" s="4" t="s">
        <v>410</v>
      </c>
      <c r="C82" s="4"/>
      <c r="D82" s="7"/>
      <c r="E82" s="7"/>
      <c r="F82" s="7"/>
      <c r="G82" s="7"/>
      <c r="H82" s="10"/>
      <c r="I82" s="7"/>
      <c r="J82" s="7"/>
      <c r="K82" s="10"/>
      <c r="L82" s="7"/>
      <c r="M82" s="7"/>
      <c r="N82" s="10"/>
      <c r="O82" s="10"/>
      <c r="P82" s="7"/>
      <c r="Q82" s="10"/>
      <c r="R82" s="10"/>
      <c r="S82" s="7"/>
      <c r="T82" s="10"/>
      <c r="U82" s="10"/>
      <c r="V82" s="7"/>
      <c r="W82" s="10"/>
      <c r="X82" s="10"/>
      <c r="Y82" s="7"/>
      <c r="Z82" s="10"/>
      <c r="AA82" s="10"/>
      <c r="AB82" s="7"/>
      <c r="AC82" s="10"/>
      <c r="AD82" s="10"/>
      <c r="AE82" s="7"/>
    </row>
    <row r="83" spans="1:31" ht="33" x14ac:dyDescent="0.35">
      <c r="A83" s="156"/>
      <c r="B83" s="4" t="s">
        <v>411</v>
      </c>
      <c r="C83" s="4"/>
      <c r="D83" s="7"/>
      <c r="E83" s="7"/>
      <c r="F83" s="7"/>
      <c r="G83" s="7"/>
      <c r="H83" s="10"/>
      <c r="I83" s="7"/>
      <c r="J83" s="7"/>
      <c r="K83" s="10"/>
      <c r="L83" s="7"/>
      <c r="M83" s="7"/>
      <c r="N83" s="10"/>
      <c r="O83" s="10"/>
      <c r="P83" s="7"/>
      <c r="Q83" s="10"/>
      <c r="R83" s="10"/>
      <c r="S83" s="7"/>
      <c r="T83" s="10"/>
      <c r="U83" s="10"/>
      <c r="V83" s="7"/>
      <c r="W83" s="10"/>
      <c r="X83" s="10"/>
      <c r="Y83" s="7"/>
      <c r="Z83" s="10"/>
      <c r="AA83" s="10"/>
      <c r="AB83" s="7"/>
      <c r="AC83" s="10"/>
      <c r="AD83" s="10"/>
      <c r="AE83" s="7"/>
    </row>
    <row r="84" spans="1:31" ht="33" x14ac:dyDescent="0.35">
      <c r="A84" s="156"/>
      <c r="B84" s="4" t="s">
        <v>412</v>
      </c>
      <c r="C84" s="4"/>
      <c r="D84" s="7"/>
      <c r="E84" s="7"/>
      <c r="F84" s="7"/>
      <c r="G84" s="7"/>
      <c r="H84" s="10"/>
      <c r="I84" s="7"/>
      <c r="J84" s="7"/>
      <c r="K84" s="10"/>
      <c r="L84" s="7"/>
      <c r="M84" s="7"/>
      <c r="N84" s="10"/>
      <c r="O84" s="10"/>
      <c r="P84" s="7"/>
      <c r="Q84" s="10"/>
      <c r="R84" s="10"/>
      <c r="S84" s="7"/>
      <c r="T84" s="10"/>
      <c r="U84" s="10"/>
      <c r="V84" s="7"/>
      <c r="W84" s="10"/>
      <c r="X84" s="10"/>
      <c r="Y84" s="7"/>
      <c r="Z84" s="10"/>
      <c r="AA84" s="10"/>
      <c r="AB84" s="7"/>
      <c r="AC84" s="10"/>
      <c r="AD84" s="10"/>
      <c r="AE84" s="7"/>
    </row>
    <row r="85" spans="1:31" ht="33" x14ac:dyDescent="0.35">
      <c r="A85" s="156"/>
      <c r="B85" s="4" t="s">
        <v>413</v>
      </c>
      <c r="C85" s="4"/>
      <c r="D85" s="7"/>
      <c r="E85" s="7"/>
      <c r="F85" s="7"/>
      <c r="G85" s="7"/>
      <c r="H85" s="10"/>
      <c r="I85" s="7"/>
      <c r="J85" s="7"/>
      <c r="K85" s="10"/>
      <c r="L85" s="7"/>
      <c r="M85" s="7"/>
      <c r="N85" s="10"/>
      <c r="O85" s="10"/>
      <c r="P85" s="7"/>
      <c r="Q85" s="10"/>
      <c r="R85" s="10"/>
      <c r="S85" s="7"/>
      <c r="T85" s="10"/>
      <c r="U85" s="10"/>
      <c r="V85" s="7"/>
      <c r="W85" s="10"/>
      <c r="X85" s="10"/>
      <c r="Y85" s="7"/>
      <c r="Z85" s="10"/>
      <c r="AA85" s="10"/>
      <c r="AB85" s="7"/>
      <c r="AC85" s="10"/>
      <c r="AD85" s="10"/>
      <c r="AE85" s="7"/>
    </row>
    <row r="86" spans="1:31" x14ac:dyDescent="0.35">
      <c r="A86" s="156"/>
      <c r="B86" s="4" t="s">
        <v>414</v>
      </c>
      <c r="C86" s="4"/>
      <c r="D86" s="7"/>
      <c r="E86" s="7"/>
      <c r="F86" s="7"/>
      <c r="G86" s="7"/>
      <c r="H86" s="10"/>
      <c r="I86" s="7"/>
      <c r="J86" s="7"/>
      <c r="K86" s="10"/>
      <c r="L86" s="7"/>
      <c r="M86" s="7"/>
      <c r="N86" s="10"/>
      <c r="O86" s="10"/>
      <c r="P86" s="7"/>
      <c r="Q86" s="10"/>
      <c r="R86" s="10"/>
      <c r="S86" s="7"/>
      <c r="T86" s="10"/>
      <c r="U86" s="10"/>
      <c r="V86" s="7"/>
      <c r="W86" s="10"/>
      <c r="X86" s="10"/>
      <c r="Y86" s="7"/>
      <c r="Z86" s="10"/>
      <c r="AA86" s="10"/>
      <c r="AB86" s="7"/>
      <c r="AC86" s="10"/>
      <c r="AD86" s="10"/>
      <c r="AE86" s="7"/>
    </row>
  </sheetData>
  <mergeCells count="153">
    <mergeCell ref="V74:V80"/>
    <mergeCell ref="AE55:AE67"/>
    <mergeCell ref="AE68:AE73"/>
    <mergeCell ref="AE74:AE80"/>
    <mergeCell ref="AE30:AE33"/>
    <mergeCell ref="AE34:AE35"/>
    <mergeCell ref="AE36:AE37"/>
    <mergeCell ref="AE38:AE40"/>
    <mergeCell ref="AE41:AE43"/>
    <mergeCell ref="AE44:AE54"/>
    <mergeCell ref="Y74:Y80"/>
    <mergeCell ref="AB74:AB80"/>
    <mergeCell ref="AB41:AB43"/>
    <mergeCell ref="V41:V43"/>
    <mergeCell ref="V44:V54"/>
    <mergeCell ref="Y55:Y67"/>
    <mergeCell ref="AB55:AB67"/>
    <mergeCell ref="Y68:Y73"/>
    <mergeCell ref="AB68:AB73"/>
    <mergeCell ref="V55:V67"/>
    <mergeCell ref="V68:V73"/>
    <mergeCell ref="M2:M5"/>
    <mergeCell ref="M6:M9"/>
    <mergeCell ref="M10:M15"/>
    <mergeCell ref="M16:M17"/>
    <mergeCell ref="M21:M29"/>
    <mergeCell ref="M30:M33"/>
    <mergeCell ref="AD1:AE1"/>
    <mergeCell ref="AE2:AE5"/>
    <mergeCell ref="AE6:AE9"/>
    <mergeCell ref="AE10:AE15"/>
    <mergeCell ref="AE16:AE17"/>
    <mergeCell ref="AE21:AE29"/>
    <mergeCell ref="AB21:AB29"/>
    <mergeCell ref="Y6:Y9"/>
    <mergeCell ref="AB6:AB9"/>
    <mergeCell ref="AA1:AB1"/>
    <mergeCell ref="U1:V1"/>
    <mergeCell ref="V2:V5"/>
    <mergeCell ref="V6:V9"/>
    <mergeCell ref="V10:V15"/>
    <mergeCell ref="V16:V17"/>
    <mergeCell ref="V21:V29"/>
    <mergeCell ref="V30:V33"/>
    <mergeCell ref="P6:P9"/>
    <mergeCell ref="A81:A86"/>
    <mergeCell ref="B74:B80"/>
    <mergeCell ref="G74:G80"/>
    <mergeCell ref="J74:J80"/>
    <mergeCell ref="P74:P80"/>
    <mergeCell ref="S74:S80"/>
    <mergeCell ref="M74:M80"/>
    <mergeCell ref="A41:A80"/>
    <mergeCell ref="M44:M54"/>
    <mergeCell ref="M55:M67"/>
    <mergeCell ref="M68:M73"/>
    <mergeCell ref="M41:M43"/>
    <mergeCell ref="B68:B73"/>
    <mergeCell ref="G68:G73"/>
    <mergeCell ref="J68:J73"/>
    <mergeCell ref="P68:P73"/>
    <mergeCell ref="S68:S73"/>
    <mergeCell ref="B55:B67"/>
    <mergeCell ref="G55:G67"/>
    <mergeCell ref="J55:J67"/>
    <mergeCell ref="P55:P67"/>
    <mergeCell ref="S55:S67"/>
    <mergeCell ref="B44:B54"/>
    <mergeCell ref="G44:G54"/>
    <mergeCell ref="J44:J54"/>
    <mergeCell ref="P44:P54"/>
    <mergeCell ref="S44:S54"/>
    <mergeCell ref="Y44:Y54"/>
    <mergeCell ref="AB44:AB54"/>
    <mergeCell ref="Y38:Y40"/>
    <mergeCell ref="AB38:AB40"/>
    <mergeCell ref="B41:B43"/>
    <mergeCell ref="G41:G43"/>
    <mergeCell ref="J41:J43"/>
    <mergeCell ref="P41:P43"/>
    <mergeCell ref="S41:S43"/>
    <mergeCell ref="Y41:Y43"/>
    <mergeCell ref="B38:B40"/>
    <mergeCell ref="G38:G40"/>
    <mergeCell ref="J38:J40"/>
    <mergeCell ref="P38:P40"/>
    <mergeCell ref="S38:S40"/>
    <mergeCell ref="M38:M40"/>
    <mergeCell ref="V38:V40"/>
    <mergeCell ref="B36:B37"/>
    <mergeCell ref="G36:G37"/>
    <mergeCell ref="J36:J37"/>
    <mergeCell ref="P36:P37"/>
    <mergeCell ref="S36:S37"/>
    <mergeCell ref="Y36:Y37"/>
    <mergeCell ref="AB36:AB37"/>
    <mergeCell ref="B34:B35"/>
    <mergeCell ref="G34:G35"/>
    <mergeCell ref="J34:J35"/>
    <mergeCell ref="P34:P35"/>
    <mergeCell ref="S34:S35"/>
    <mergeCell ref="M34:M35"/>
    <mergeCell ref="M36:M37"/>
    <mergeCell ref="Y34:Y35"/>
    <mergeCell ref="AB34:AB35"/>
    <mergeCell ref="V34:V35"/>
    <mergeCell ref="V36:V37"/>
    <mergeCell ref="S6:S9"/>
    <mergeCell ref="B30:B33"/>
    <mergeCell ref="G30:G33"/>
    <mergeCell ref="J30:J33"/>
    <mergeCell ref="P30:P33"/>
    <mergeCell ref="S30:S33"/>
    <mergeCell ref="Y30:Y33"/>
    <mergeCell ref="AB30:AB33"/>
    <mergeCell ref="Y16:Y17"/>
    <mergeCell ref="AB16:AB17"/>
    <mergeCell ref="B18:B20"/>
    <mergeCell ref="B21:B29"/>
    <mergeCell ref="G21:G29"/>
    <mergeCell ref="J21:J29"/>
    <mergeCell ref="P21:P29"/>
    <mergeCell ref="S21:S29"/>
    <mergeCell ref="Y21:Y29"/>
    <mergeCell ref="B16:B17"/>
    <mergeCell ref="G16:G17"/>
    <mergeCell ref="J16:J17"/>
    <mergeCell ref="P16:P17"/>
    <mergeCell ref="S16:S17"/>
    <mergeCell ref="A2:A40"/>
    <mergeCell ref="B2:B5"/>
    <mergeCell ref="G2:G5"/>
    <mergeCell ref="J2:J5"/>
    <mergeCell ref="P2:P5"/>
    <mergeCell ref="S2:S5"/>
    <mergeCell ref="Y2:Y5"/>
    <mergeCell ref="AB2:AB5"/>
    <mergeCell ref="F1:G1"/>
    <mergeCell ref="I1:J1"/>
    <mergeCell ref="O1:P1"/>
    <mergeCell ref="R1:S1"/>
    <mergeCell ref="X1:Y1"/>
    <mergeCell ref="L1:M1"/>
    <mergeCell ref="B10:B15"/>
    <mergeCell ref="G10:G15"/>
    <mergeCell ref="J10:J15"/>
    <mergeCell ref="P10:P15"/>
    <mergeCell ref="S10:S15"/>
    <mergeCell ref="Y10:Y15"/>
    <mergeCell ref="AB10:AB15"/>
    <mergeCell ref="B6:B9"/>
    <mergeCell ref="G6:G9"/>
    <mergeCell ref="J6:J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E25E-BF19-4337-A14D-74B17E53E580}">
  <dimension ref="A1:AQ171"/>
  <sheetViews>
    <sheetView zoomScaleNormal="100" workbookViewId="0">
      <pane xSplit="6" ySplit="1" topLeftCell="G17" activePane="bottomRight" state="frozen"/>
      <selection pane="topRight" activeCell="G1" sqref="G1"/>
      <selection pane="bottomLeft" activeCell="A2" sqref="A2"/>
      <selection pane="bottomRight" activeCell="D36" sqref="D36"/>
    </sheetView>
  </sheetViews>
  <sheetFormatPr defaultColWidth="9" defaultRowHeight="16.5" x14ac:dyDescent="0.35"/>
  <cols>
    <col min="1" max="2" width="9" style="9"/>
    <col min="3" max="3" width="25" style="9" bestFit="1" customWidth="1"/>
    <col min="4" max="4" width="15.28515625" style="9" customWidth="1"/>
    <col min="5" max="5" width="9" style="14"/>
    <col min="6" max="6" width="15.5703125" style="14" customWidth="1"/>
    <col min="7" max="7" width="4.42578125" style="14" bestFit="1" customWidth="1"/>
    <col min="8" max="8" width="4.42578125" style="14" customWidth="1"/>
    <col min="9" max="9" width="16.5703125" style="9" bestFit="1" customWidth="1"/>
    <col min="10" max="10" width="4.42578125" style="9" bestFit="1" customWidth="1"/>
    <col min="11" max="11" width="4.42578125" style="9" customWidth="1"/>
    <col min="12" max="12" width="15.140625" style="9" customWidth="1"/>
    <col min="13" max="13" width="4.42578125" style="9" bestFit="1" customWidth="1"/>
    <col min="14" max="14" width="4.42578125" style="9" customWidth="1"/>
    <col min="15" max="15" width="18.7109375" style="9" bestFit="1" customWidth="1"/>
    <col min="16" max="16" width="4.42578125" style="9" bestFit="1" customWidth="1"/>
    <col min="17" max="17" width="4.42578125" style="9" customWidth="1"/>
    <col min="18" max="18" width="17.28515625" style="9" bestFit="1" customWidth="1"/>
    <col min="19" max="19" width="4.42578125" style="9" bestFit="1" customWidth="1"/>
    <col min="20" max="20" width="4.42578125" style="9" customWidth="1"/>
    <col min="21" max="21" width="15.85546875" style="9" bestFit="1" customWidth="1"/>
    <col min="22" max="22" width="4.42578125" style="9" bestFit="1" customWidth="1"/>
    <col min="23" max="23" width="4.42578125" style="9" customWidth="1"/>
    <col min="24" max="24" width="14.7109375" style="9" bestFit="1" customWidth="1"/>
    <col min="25" max="25" width="4.42578125" style="9" bestFit="1" customWidth="1"/>
    <col min="26" max="26" width="4.42578125" style="9" customWidth="1"/>
    <col min="27" max="27" width="16.5703125" style="9" bestFit="1" customWidth="1"/>
    <col min="28" max="28" width="4.42578125" style="9" bestFit="1" customWidth="1"/>
    <col min="29" max="29" width="4.42578125" style="9" customWidth="1"/>
    <col min="30" max="30" width="13.140625" style="9" bestFit="1" customWidth="1"/>
    <col min="31" max="31" width="4.42578125" style="9" bestFit="1" customWidth="1"/>
    <col min="32" max="32" width="4.42578125" style="14" customWidth="1"/>
    <col min="33" max="16384" width="9" style="9"/>
  </cols>
  <sheetData>
    <row r="1" spans="1:34" ht="15" customHeight="1" x14ac:dyDescent="0.35">
      <c r="A1" s="1" t="s">
        <v>313</v>
      </c>
      <c r="B1" s="1" t="s">
        <v>314</v>
      </c>
      <c r="C1" s="2" t="s">
        <v>315</v>
      </c>
      <c r="D1" s="3" t="s">
        <v>468</v>
      </c>
      <c r="E1" s="3" t="s">
        <v>316</v>
      </c>
      <c r="F1" s="3" t="s">
        <v>222</v>
      </c>
      <c r="G1" s="145" t="s">
        <v>317</v>
      </c>
      <c r="H1" s="146"/>
      <c r="I1" s="3" t="s">
        <v>223</v>
      </c>
      <c r="J1" s="145" t="s">
        <v>317</v>
      </c>
      <c r="K1" s="146"/>
      <c r="L1" s="3" t="s">
        <v>224</v>
      </c>
      <c r="M1" s="145" t="s">
        <v>317</v>
      </c>
      <c r="N1" s="146"/>
      <c r="O1" s="3" t="s">
        <v>225</v>
      </c>
      <c r="P1" s="145" t="s">
        <v>317</v>
      </c>
      <c r="Q1" s="146"/>
      <c r="R1" s="3" t="s">
        <v>226</v>
      </c>
      <c r="S1" s="145" t="s">
        <v>317</v>
      </c>
      <c r="T1" s="146"/>
      <c r="U1" s="3" t="s">
        <v>227</v>
      </c>
      <c r="V1" s="145" t="s">
        <v>317</v>
      </c>
      <c r="W1" s="146"/>
      <c r="X1" s="71" t="s">
        <v>228</v>
      </c>
      <c r="Y1" s="186" t="s">
        <v>317</v>
      </c>
      <c r="Z1" s="187"/>
      <c r="AA1" s="71" t="s">
        <v>229</v>
      </c>
      <c r="AB1" s="186" t="s">
        <v>317</v>
      </c>
      <c r="AC1" s="187"/>
      <c r="AD1" s="71" t="s">
        <v>230</v>
      </c>
      <c r="AE1" s="188" t="s">
        <v>317</v>
      </c>
      <c r="AF1" s="189"/>
      <c r="AH1" s="42" t="s">
        <v>415</v>
      </c>
    </row>
    <row r="2" spans="1:34" x14ac:dyDescent="0.35">
      <c r="A2" s="158" t="s">
        <v>319</v>
      </c>
      <c r="B2" s="157" t="s">
        <v>320</v>
      </c>
      <c r="C2" s="4" t="s">
        <v>321</v>
      </c>
      <c r="D2" s="5" t="s">
        <v>117</v>
      </c>
      <c r="E2" s="4" t="s">
        <v>0</v>
      </c>
      <c r="F2" s="20">
        <v>51090</v>
      </c>
      <c r="G2" s="20">
        <v>3</v>
      </c>
      <c r="H2" s="159">
        <v>2</v>
      </c>
      <c r="I2" s="10" t="s">
        <v>231</v>
      </c>
      <c r="J2" s="10">
        <v>3</v>
      </c>
      <c r="K2" s="140">
        <v>3</v>
      </c>
      <c r="L2" s="10">
        <v>50750</v>
      </c>
      <c r="M2" s="10">
        <v>3</v>
      </c>
      <c r="N2" s="140">
        <v>4</v>
      </c>
      <c r="O2" s="10" t="s">
        <v>232</v>
      </c>
      <c r="P2" s="10">
        <v>5</v>
      </c>
      <c r="Q2" s="140">
        <v>3</v>
      </c>
      <c r="R2" s="10">
        <v>54900</v>
      </c>
      <c r="S2" s="10">
        <v>1</v>
      </c>
      <c r="T2" s="140">
        <v>2</v>
      </c>
      <c r="U2" s="10" t="s">
        <v>233</v>
      </c>
      <c r="V2" s="10">
        <v>3</v>
      </c>
      <c r="W2" s="140">
        <v>3.5</v>
      </c>
      <c r="X2" s="72">
        <v>53950</v>
      </c>
      <c r="Y2" s="72">
        <v>1</v>
      </c>
      <c r="Z2" s="120">
        <v>3</v>
      </c>
      <c r="AA2" s="72" t="s">
        <v>234</v>
      </c>
      <c r="AB2" s="72">
        <v>1</v>
      </c>
      <c r="AC2" s="120">
        <v>2</v>
      </c>
      <c r="AD2" s="72">
        <v>54700</v>
      </c>
      <c r="AE2" s="72">
        <v>1</v>
      </c>
      <c r="AF2" s="120">
        <v>2</v>
      </c>
      <c r="AG2" s="9" t="s">
        <v>320</v>
      </c>
      <c r="AH2" s="35" t="s">
        <v>416</v>
      </c>
    </row>
    <row r="3" spans="1:34" x14ac:dyDescent="0.35">
      <c r="A3" s="158"/>
      <c r="B3" s="157"/>
      <c r="C3" s="4" t="s">
        <v>323</v>
      </c>
      <c r="D3" s="5" t="s">
        <v>117</v>
      </c>
      <c r="E3" s="4" t="s">
        <v>1</v>
      </c>
      <c r="F3" s="20">
        <v>3592</v>
      </c>
      <c r="G3" s="20">
        <v>1</v>
      </c>
      <c r="H3" s="160"/>
      <c r="I3" s="10" t="s">
        <v>235</v>
      </c>
      <c r="J3" s="10">
        <v>3</v>
      </c>
      <c r="K3" s="139"/>
      <c r="L3" s="10" t="s">
        <v>236</v>
      </c>
      <c r="M3" s="10">
        <v>5</v>
      </c>
      <c r="N3" s="139"/>
      <c r="O3" s="9">
        <v>3640</v>
      </c>
      <c r="P3" s="10">
        <v>1</v>
      </c>
      <c r="Q3" s="139"/>
      <c r="R3" s="10">
        <v>3650</v>
      </c>
      <c r="S3" s="10">
        <v>1</v>
      </c>
      <c r="T3" s="139"/>
      <c r="U3" s="10" t="s">
        <v>236</v>
      </c>
      <c r="V3" s="10">
        <v>5</v>
      </c>
      <c r="W3" s="139"/>
      <c r="X3" s="72" t="s">
        <v>237</v>
      </c>
      <c r="Y3" s="72">
        <v>5</v>
      </c>
      <c r="Z3" s="120"/>
      <c r="AA3" s="72" t="s">
        <v>238</v>
      </c>
      <c r="AB3" s="72">
        <v>3</v>
      </c>
      <c r="AC3" s="120"/>
      <c r="AD3" s="72">
        <v>3640</v>
      </c>
      <c r="AE3" s="72">
        <v>1</v>
      </c>
      <c r="AF3" s="120"/>
      <c r="AG3" s="9" t="s">
        <v>327</v>
      </c>
      <c r="AH3" s="35" t="s">
        <v>418</v>
      </c>
    </row>
    <row r="4" spans="1:34" x14ac:dyDescent="0.35">
      <c r="A4" s="158"/>
      <c r="B4" s="157"/>
      <c r="C4" s="4" t="s">
        <v>326</v>
      </c>
      <c r="D4" s="5" t="s">
        <v>118</v>
      </c>
      <c r="E4" s="4" t="s">
        <v>1</v>
      </c>
      <c r="F4" s="20">
        <v>4400</v>
      </c>
      <c r="G4" s="20">
        <v>1</v>
      </c>
      <c r="H4" s="160"/>
      <c r="I4" s="10">
        <v>3710</v>
      </c>
      <c r="J4" s="10">
        <v>3</v>
      </c>
      <c r="K4" s="139"/>
      <c r="L4" s="10">
        <v>3480</v>
      </c>
      <c r="M4" s="10">
        <v>5</v>
      </c>
      <c r="N4" s="139"/>
      <c r="O4" s="10">
        <v>3635</v>
      </c>
      <c r="P4" s="10">
        <v>3</v>
      </c>
      <c r="Q4" s="139"/>
      <c r="R4" s="10">
        <v>3670</v>
      </c>
      <c r="S4" s="10">
        <v>3</v>
      </c>
      <c r="T4" s="139"/>
      <c r="U4" s="10">
        <v>3890</v>
      </c>
      <c r="V4" s="10">
        <v>3</v>
      </c>
      <c r="W4" s="139"/>
      <c r="X4" s="72">
        <v>3790</v>
      </c>
      <c r="Y4" s="72">
        <v>3</v>
      </c>
      <c r="Z4" s="120"/>
      <c r="AA4" s="72">
        <v>3580</v>
      </c>
      <c r="AB4" s="72">
        <v>1</v>
      </c>
      <c r="AC4" s="120"/>
      <c r="AD4" s="72">
        <v>3874</v>
      </c>
      <c r="AE4" s="72">
        <v>3</v>
      </c>
      <c r="AF4" s="120"/>
      <c r="AG4" s="9" t="s">
        <v>330</v>
      </c>
      <c r="AH4" s="35" t="s">
        <v>419</v>
      </c>
    </row>
    <row r="5" spans="1:34" x14ac:dyDescent="0.35">
      <c r="A5" s="158"/>
      <c r="B5" s="157"/>
      <c r="C5" s="4" t="s">
        <v>329</v>
      </c>
      <c r="D5" s="5" t="s">
        <v>118</v>
      </c>
      <c r="E5" s="4" t="s">
        <v>1</v>
      </c>
      <c r="F5" s="20">
        <v>12029</v>
      </c>
      <c r="G5" s="20">
        <v>3</v>
      </c>
      <c r="H5" s="161"/>
      <c r="I5" s="10">
        <v>11890</v>
      </c>
      <c r="J5" s="10">
        <v>3</v>
      </c>
      <c r="K5" s="141"/>
      <c r="L5" s="10">
        <v>12010</v>
      </c>
      <c r="M5" s="10">
        <v>3</v>
      </c>
      <c r="N5" s="141"/>
      <c r="O5" s="10">
        <v>11930</v>
      </c>
      <c r="P5" s="10">
        <v>3</v>
      </c>
      <c r="Q5" s="141"/>
      <c r="R5" s="10">
        <v>12160</v>
      </c>
      <c r="S5" s="10">
        <v>3</v>
      </c>
      <c r="T5" s="141"/>
      <c r="U5" s="10">
        <v>12220</v>
      </c>
      <c r="V5" s="10">
        <v>3</v>
      </c>
      <c r="W5" s="141"/>
      <c r="X5" s="72">
        <v>12260</v>
      </c>
      <c r="Y5" s="72">
        <v>3</v>
      </c>
      <c r="Z5" s="120"/>
      <c r="AA5" s="72">
        <v>12230</v>
      </c>
      <c r="AB5" s="72">
        <v>3</v>
      </c>
      <c r="AC5" s="120"/>
      <c r="AD5" s="72">
        <v>12194</v>
      </c>
      <c r="AE5" s="72">
        <v>3</v>
      </c>
      <c r="AF5" s="120"/>
      <c r="AG5" s="9" t="s">
        <v>333</v>
      </c>
      <c r="AH5" s="35" t="s">
        <v>334</v>
      </c>
    </row>
    <row r="6" spans="1:34" x14ac:dyDescent="0.35">
      <c r="A6" s="158"/>
      <c r="B6" s="157" t="s">
        <v>324</v>
      </c>
      <c r="C6" s="4" t="s">
        <v>332</v>
      </c>
      <c r="D6" s="5" t="s">
        <v>118</v>
      </c>
      <c r="E6" s="4" t="s">
        <v>1</v>
      </c>
      <c r="F6" s="20">
        <v>2740</v>
      </c>
      <c r="G6" s="20">
        <v>1</v>
      </c>
      <c r="H6" s="159">
        <v>2</v>
      </c>
      <c r="I6" s="10" t="s">
        <v>239</v>
      </c>
      <c r="J6" s="10">
        <v>3</v>
      </c>
      <c r="K6" s="140">
        <v>3</v>
      </c>
      <c r="L6" s="10" t="s">
        <v>239</v>
      </c>
      <c r="M6" s="10">
        <v>3</v>
      </c>
      <c r="N6" s="140">
        <v>3</v>
      </c>
      <c r="O6" s="10">
        <v>2740</v>
      </c>
      <c r="P6" s="10">
        <v>1</v>
      </c>
      <c r="Q6" s="140">
        <v>2.5</v>
      </c>
      <c r="R6" s="10">
        <v>2750</v>
      </c>
      <c r="S6" s="10">
        <v>1</v>
      </c>
      <c r="T6" s="140">
        <v>2.5</v>
      </c>
      <c r="U6" s="10" t="s">
        <v>239</v>
      </c>
      <c r="V6" s="10">
        <v>3</v>
      </c>
      <c r="W6" s="140">
        <v>3</v>
      </c>
      <c r="X6" s="72" t="s">
        <v>240</v>
      </c>
      <c r="Y6" s="72">
        <v>3</v>
      </c>
      <c r="Z6" s="120">
        <v>3</v>
      </c>
      <c r="AA6" s="72" t="s">
        <v>241</v>
      </c>
      <c r="AB6" s="72">
        <v>3</v>
      </c>
      <c r="AC6" s="120">
        <v>3</v>
      </c>
      <c r="AD6" s="72">
        <v>2740</v>
      </c>
      <c r="AE6" s="72">
        <v>1</v>
      </c>
      <c r="AF6" s="120">
        <v>2.5</v>
      </c>
      <c r="AG6" s="9" t="s">
        <v>336</v>
      </c>
      <c r="AH6" s="35" t="s">
        <v>420</v>
      </c>
    </row>
    <row r="7" spans="1:34" x14ac:dyDescent="0.35">
      <c r="A7" s="158"/>
      <c r="B7" s="157"/>
      <c r="C7" s="4" t="s">
        <v>335</v>
      </c>
      <c r="D7" s="5" t="s">
        <v>119</v>
      </c>
      <c r="E7" s="4" t="s">
        <v>1</v>
      </c>
      <c r="F7" s="20">
        <v>4407</v>
      </c>
      <c r="G7" s="20">
        <v>3</v>
      </c>
      <c r="H7" s="160"/>
      <c r="I7" s="10">
        <v>4340</v>
      </c>
      <c r="J7" s="10">
        <v>3</v>
      </c>
      <c r="K7" s="139"/>
      <c r="L7" s="10">
        <v>4470</v>
      </c>
      <c r="M7" s="10">
        <v>3</v>
      </c>
      <c r="N7" s="139"/>
      <c r="O7" s="10">
        <v>4350</v>
      </c>
      <c r="P7" s="10">
        <v>3</v>
      </c>
      <c r="Q7" s="139"/>
      <c r="R7" s="10">
        <v>4400</v>
      </c>
      <c r="S7" s="10">
        <v>3</v>
      </c>
      <c r="T7" s="139"/>
      <c r="U7" s="10">
        <v>4380</v>
      </c>
      <c r="V7" s="10">
        <v>3</v>
      </c>
      <c r="W7" s="139"/>
      <c r="X7" s="72">
        <v>4470</v>
      </c>
      <c r="Y7" s="72">
        <v>3</v>
      </c>
      <c r="Z7" s="120"/>
      <c r="AA7" s="72">
        <v>4475</v>
      </c>
      <c r="AB7" s="72">
        <v>3</v>
      </c>
      <c r="AC7" s="120"/>
      <c r="AD7" s="72">
        <v>4412</v>
      </c>
      <c r="AE7" s="72">
        <v>3</v>
      </c>
      <c r="AF7" s="120"/>
      <c r="AG7" s="9" t="s">
        <v>339</v>
      </c>
      <c r="AH7" s="35" t="s">
        <v>469</v>
      </c>
    </row>
    <row r="8" spans="1:34" x14ac:dyDescent="0.35">
      <c r="A8" s="158"/>
      <c r="B8" s="157"/>
      <c r="C8" s="4" t="s">
        <v>338</v>
      </c>
      <c r="D8" s="5" t="s">
        <v>119</v>
      </c>
      <c r="E8" s="4" t="s">
        <v>1</v>
      </c>
      <c r="F8" s="20">
        <v>5470</v>
      </c>
      <c r="G8" s="20">
        <v>3</v>
      </c>
      <c r="H8" s="160"/>
      <c r="I8" s="10">
        <v>5350</v>
      </c>
      <c r="J8" s="10">
        <v>3</v>
      </c>
      <c r="K8" s="139"/>
      <c r="L8" s="10">
        <v>5470</v>
      </c>
      <c r="M8" s="10">
        <v>3</v>
      </c>
      <c r="N8" s="139"/>
      <c r="O8" s="10">
        <v>5385</v>
      </c>
      <c r="P8" s="10">
        <v>3</v>
      </c>
      <c r="Q8" s="139"/>
      <c r="R8" s="10">
        <v>5460</v>
      </c>
      <c r="S8" s="10">
        <v>3</v>
      </c>
      <c r="T8" s="139"/>
      <c r="U8" s="10">
        <v>5380</v>
      </c>
      <c r="V8" s="10">
        <v>3</v>
      </c>
      <c r="W8" s="139"/>
      <c r="X8" s="72">
        <v>5416</v>
      </c>
      <c r="Y8" s="72">
        <v>3</v>
      </c>
      <c r="Z8" s="120"/>
      <c r="AA8" s="72">
        <v>5455</v>
      </c>
      <c r="AB8" s="72">
        <v>3</v>
      </c>
      <c r="AC8" s="120"/>
      <c r="AD8" s="72">
        <v>5459</v>
      </c>
      <c r="AE8" s="72">
        <v>3</v>
      </c>
      <c r="AF8" s="120"/>
      <c r="AG8" s="9" t="s">
        <v>342</v>
      </c>
      <c r="AH8" s="35" t="s">
        <v>422</v>
      </c>
    </row>
    <row r="9" spans="1:34" x14ac:dyDescent="0.35">
      <c r="A9" s="158"/>
      <c r="B9" s="157"/>
      <c r="C9" s="4" t="s">
        <v>341</v>
      </c>
      <c r="D9" s="5" t="s">
        <v>119</v>
      </c>
      <c r="E9" s="4" t="s">
        <v>1</v>
      </c>
      <c r="F9" s="20">
        <v>800</v>
      </c>
      <c r="G9" s="20">
        <v>1</v>
      </c>
      <c r="H9" s="161"/>
      <c r="I9" s="10">
        <v>900</v>
      </c>
      <c r="J9" s="10">
        <v>3</v>
      </c>
      <c r="K9" s="141"/>
      <c r="L9" s="10">
        <v>900</v>
      </c>
      <c r="M9" s="10">
        <v>3</v>
      </c>
      <c r="N9" s="141"/>
      <c r="O9" s="10">
        <v>900</v>
      </c>
      <c r="P9" s="10">
        <v>3</v>
      </c>
      <c r="Q9" s="141"/>
      <c r="R9" s="10">
        <v>900</v>
      </c>
      <c r="S9" s="10">
        <v>3</v>
      </c>
      <c r="T9" s="141"/>
      <c r="U9" s="10">
        <v>900</v>
      </c>
      <c r="V9" s="10">
        <v>3</v>
      </c>
      <c r="W9" s="141"/>
      <c r="X9" s="72">
        <v>900</v>
      </c>
      <c r="Y9" s="72">
        <v>3</v>
      </c>
      <c r="Z9" s="120"/>
      <c r="AA9" s="72">
        <v>900</v>
      </c>
      <c r="AB9" s="72">
        <v>3</v>
      </c>
      <c r="AC9" s="120"/>
      <c r="AD9" s="72">
        <v>900</v>
      </c>
      <c r="AE9" s="72">
        <v>3</v>
      </c>
      <c r="AF9" s="120"/>
      <c r="AG9" s="9" t="s">
        <v>345</v>
      </c>
      <c r="AH9" s="35" t="s">
        <v>423</v>
      </c>
    </row>
    <row r="10" spans="1:34" x14ac:dyDescent="0.35">
      <c r="A10" s="158"/>
      <c r="B10" s="157" t="s">
        <v>327</v>
      </c>
      <c r="C10" s="4" t="s">
        <v>344</v>
      </c>
      <c r="D10" s="5" t="s">
        <v>120</v>
      </c>
      <c r="E10" s="4" t="s">
        <v>1</v>
      </c>
      <c r="F10" s="20">
        <v>10688</v>
      </c>
      <c r="G10" s="20">
        <v>1</v>
      </c>
      <c r="H10" s="159">
        <v>2.2999999999999998</v>
      </c>
      <c r="I10" s="10">
        <v>10970</v>
      </c>
      <c r="J10" s="10">
        <v>3</v>
      </c>
      <c r="K10" s="140">
        <v>2.2000000000000002</v>
      </c>
      <c r="L10" s="10">
        <v>11060</v>
      </c>
      <c r="M10" s="10">
        <v>3</v>
      </c>
      <c r="N10" s="140">
        <v>3.3</v>
      </c>
      <c r="O10" s="10">
        <v>10980</v>
      </c>
      <c r="P10" s="10">
        <v>3</v>
      </c>
      <c r="Q10" s="140">
        <v>3.3</v>
      </c>
      <c r="R10" s="10">
        <v>10980</v>
      </c>
      <c r="S10" s="10">
        <v>3</v>
      </c>
      <c r="T10" s="140">
        <v>3</v>
      </c>
      <c r="U10" s="10">
        <v>11065</v>
      </c>
      <c r="V10" s="10">
        <v>3</v>
      </c>
      <c r="W10" s="140">
        <v>3</v>
      </c>
      <c r="X10" s="72">
        <v>11180</v>
      </c>
      <c r="Y10" s="72">
        <v>5</v>
      </c>
      <c r="Z10" s="120">
        <v>3.4</v>
      </c>
      <c r="AA10" s="72">
        <v>11050</v>
      </c>
      <c r="AB10" s="72">
        <v>5</v>
      </c>
      <c r="AC10" s="120">
        <v>3.7</v>
      </c>
      <c r="AD10" s="72">
        <v>11112</v>
      </c>
      <c r="AE10" s="72">
        <v>5</v>
      </c>
      <c r="AF10" s="120">
        <v>4.5999999999999996</v>
      </c>
      <c r="AH10" s="42" t="s">
        <v>424</v>
      </c>
    </row>
    <row r="11" spans="1:34" x14ac:dyDescent="0.35">
      <c r="A11" s="158"/>
      <c r="B11" s="157"/>
      <c r="C11" s="4" t="s">
        <v>347</v>
      </c>
      <c r="D11" s="5"/>
      <c r="E11" s="4" t="s">
        <v>1</v>
      </c>
      <c r="F11" s="20">
        <v>7415</v>
      </c>
      <c r="G11" s="20">
        <v>1</v>
      </c>
      <c r="H11" s="160"/>
      <c r="I11" s="10">
        <v>7580</v>
      </c>
      <c r="J11" s="10">
        <v>3</v>
      </c>
      <c r="K11" s="139"/>
      <c r="L11" s="10">
        <v>7650</v>
      </c>
      <c r="M11" s="10">
        <v>3</v>
      </c>
      <c r="N11" s="139"/>
      <c r="O11" s="10">
        <v>7630</v>
      </c>
      <c r="P11" s="10">
        <v>3</v>
      </c>
      <c r="Q11" s="139"/>
      <c r="R11" s="10">
        <v>7620</v>
      </c>
      <c r="S11" s="10">
        <v>3</v>
      </c>
      <c r="T11" s="139"/>
      <c r="U11" s="10">
        <v>7525</v>
      </c>
      <c r="V11" s="10">
        <v>3</v>
      </c>
      <c r="W11" s="139"/>
      <c r="X11" s="72">
        <v>7780</v>
      </c>
      <c r="Y11" s="72">
        <v>5</v>
      </c>
      <c r="Z11" s="120"/>
      <c r="AA11" s="72">
        <v>7865</v>
      </c>
      <c r="AB11" s="72">
        <v>5</v>
      </c>
      <c r="AC11" s="120"/>
      <c r="AD11" s="72">
        <v>7843</v>
      </c>
      <c r="AE11" s="72">
        <v>5</v>
      </c>
      <c r="AF11" s="120"/>
      <c r="AG11" s="9" t="s">
        <v>350</v>
      </c>
      <c r="AH11" s="35" t="s">
        <v>425</v>
      </c>
    </row>
    <row r="12" spans="1:34" x14ac:dyDescent="0.35">
      <c r="A12" s="158"/>
      <c r="B12" s="157"/>
      <c r="C12" s="4" t="s">
        <v>349</v>
      </c>
      <c r="D12" s="5" t="s">
        <v>117</v>
      </c>
      <c r="E12" s="4" t="s">
        <v>1</v>
      </c>
      <c r="F12" s="20">
        <v>7974</v>
      </c>
      <c r="G12" s="20">
        <v>5</v>
      </c>
      <c r="H12" s="160"/>
      <c r="I12" s="10">
        <v>7510</v>
      </c>
      <c r="J12" s="10">
        <v>1</v>
      </c>
      <c r="K12" s="139"/>
      <c r="L12" s="10">
        <v>7770</v>
      </c>
      <c r="M12" s="10">
        <v>3</v>
      </c>
      <c r="N12" s="139"/>
      <c r="O12" s="10">
        <v>7755</v>
      </c>
      <c r="P12" s="10">
        <v>3</v>
      </c>
      <c r="Q12" s="139"/>
      <c r="R12" s="10">
        <v>7770</v>
      </c>
      <c r="S12" s="10">
        <v>3</v>
      </c>
      <c r="T12" s="139"/>
      <c r="U12" s="10">
        <v>7830</v>
      </c>
      <c r="V12" s="10">
        <v>3</v>
      </c>
      <c r="W12" s="139"/>
      <c r="X12" s="72">
        <v>7610</v>
      </c>
      <c r="Y12" s="72">
        <v>1</v>
      </c>
      <c r="Z12" s="120"/>
      <c r="AA12" s="72">
        <v>7790</v>
      </c>
      <c r="AB12" s="72">
        <v>3</v>
      </c>
      <c r="AC12" s="120"/>
      <c r="AD12" s="72">
        <v>8225</v>
      </c>
      <c r="AE12" s="72">
        <v>5</v>
      </c>
      <c r="AF12" s="120"/>
      <c r="AG12" s="9" t="s">
        <v>333</v>
      </c>
      <c r="AH12" s="35" t="s">
        <v>426</v>
      </c>
    </row>
    <row r="13" spans="1:34" x14ac:dyDescent="0.35">
      <c r="A13" s="158"/>
      <c r="B13" s="157"/>
      <c r="C13" s="4" t="s">
        <v>352</v>
      </c>
      <c r="D13" s="5" t="s">
        <v>117</v>
      </c>
      <c r="E13" s="4" t="s">
        <v>1</v>
      </c>
      <c r="F13" s="20">
        <v>11930</v>
      </c>
      <c r="G13" s="20">
        <v>3</v>
      </c>
      <c r="H13" s="160"/>
      <c r="I13" s="21" t="s">
        <v>2</v>
      </c>
      <c r="J13" s="21"/>
      <c r="K13" s="139"/>
      <c r="L13" s="10">
        <v>12060</v>
      </c>
      <c r="M13" s="10">
        <v>3</v>
      </c>
      <c r="N13" s="139"/>
      <c r="O13" s="10">
        <v>12030</v>
      </c>
      <c r="P13" s="10">
        <v>3</v>
      </c>
      <c r="Q13" s="139"/>
      <c r="R13" s="10">
        <v>12070</v>
      </c>
      <c r="S13" s="10">
        <v>3</v>
      </c>
      <c r="T13" s="139"/>
      <c r="U13" s="10">
        <v>12145</v>
      </c>
      <c r="V13" s="10">
        <v>3</v>
      </c>
      <c r="W13" s="139"/>
      <c r="X13" s="72">
        <v>12040</v>
      </c>
      <c r="Y13" s="72">
        <v>3</v>
      </c>
      <c r="Z13" s="120"/>
      <c r="AA13" s="72">
        <v>12125</v>
      </c>
      <c r="AB13" s="72">
        <v>3</v>
      </c>
      <c r="AC13" s="120"/>
      <c r="AD13" s="72"/>
      <c r="AE13" s="72"/>
      <c r="AF13" s="120"/>
      <c r="AG13" s="9" t="s">
        <v>355</v>
      </c>
      <c r="AH13" s="35" t="s">
        <v>427</v>
      </c>
    </row>
    <row r="14" spans="1:34" x14ac:dyDescent="0.35">
      <c r="A14" s="158"/>
      <c r="B14" s="157"/>
      <c r="C14" s="4" t="s">
        <v>354</v>
      </c>
      <c r="D14" s="5"/>
      <c r="E14" s="4" t="s">
        <v>1</v>
      </c>
      <c r="F14" s="20">
        <v>11508</v>
      </c>
      <c r="G14" s="20">
        <v>1</v>
      </c>
      <c r="H14" s="160"/>
      <c r="I14" s="10">
        <v>11710</v>
      </c>
      <c r="J14" s="10">
        <v>1</v>
      </c>
      <c r="K14" s="139"/>
      <c r="L14" s="10">
        <v>11840</v>
      </c>
      <c r="M14" s="10">
        <v>3</v>
      </c>
      <c r="N14" s="139"/>
      <c r="O14" s="10">
        <v>11810</v>
      </c>
      <c r="P14" s="10">
        <v>3</v>
      </c>
      <c r="Q14" s="139"/>
      <c r="R14" s="10">
        <v>11850</v>
      </c>
      <c r="S14" s="10">
        <v>3</v>
      </c>
      <c r="T14" s="139"/>
      <c r="U14" s="10">
        <v>11925</v>
      </c>
      <c r="V14" s="10">
        <v>3</v>
      </c>
      <c r="W14" s="139"/>
      <c r="X14" s="72">
        <v>11810</v>
      </c>
      <c r="Y14" s="72">
        <v>3</v>
      </c>
      <c r="Z14" s="120"/>
      <c r="AA14" s="72">
        <v>11865</v>
      </c>
      <c r="AB14" s="72">
        <v>3</v>
      </c>
      <c r="AC14" s="120"/>
      <c r="AD14" s="72">
        <v>12537</v>
      </c>
      <c r="AE14" s="72">
        <v>5</v>
      </c>
      <c r="AF14" s="120"/>
      <c r="AG14" s="14" t="s">
        <v>358</v>
      </c>
      <c r="AH14" s="36" t="s">
        <v>428</v>
      </c>
    </row>
    <row r="15" spans="1:34" x14ac:dyDescent="0.35">
      <c r="A15" s="158"/>
      <c r="B15" s="157"/>
      <c r="C15" s="4" t="s">
        <v>357</v>
      </c>
      <c r="D15" s="5" t="s">
        <v>117</v>
      </c>
      <c r="E15" s="4" t="s">
        <v>1</v>
      </c>
      <c r="F15" s="20">
        <v>3853</v>
      </c>
      <c r="G15" s="20">
        <v>3</v>
      </c>
      <c r="H15" s="161"/>
      <c r="I15" s="13">
        <v>3760</v>
      </c>
      <c r="J15" s="13">
        <v>3</v>
      </c>
      <c r="K15" s="141"/>
      <c r="L15" s="13">
        <v>3670</v>
      </c>
      <c r="M15" s="13">
        <v>5</v>
      </c>
      <c r="N15" s="141"/>
      <c r="O15" s="7">
        <v>3645</v>
      </c>
      <c r="P15" s="7">
        <v>5</v>
      </c>
      <c r="Q15" s="141"/>
      <c r="R15" s="7">
        <v>3880</v>
      </c>
      <c r="S15" s="7">
        <v>3</v>
      </c>
      <c r="T15" s="141"/>
      <c r="U15" s="7">
        <v>3880</v>
      </c>
      <c r="V15" s="7">
        <v>3</v>
      </c>
      <c r="W15" s="141"/>
      <c r="X15" s="72"/>
      <c r="Y15" s="72"/>
      <c r="Z15" s="120"/>
      <c r="AA15" s="72">
        <v>3800</v>
      </c>
      <c r="AB15" s="72">
        <v>3</v>
      </c>
      <c r="AC15" s="120"/>
      <c r="AD15" s="72">
        <v>3850</v>
      </c>
      <c r="AE15" s="72">
        <v>3</v>
      </c>
      <c r="AF15" s="120"/>
      <c r="AG15" s="9" t="s">
        <v>361</v>
      </c>
      <c r="AH15" s="35" t="s">
        <v>429</v>
      </c>
    </row>
    <row r="16" spans="1:34" ht="14.25" customHeight="1" x14ac:dyDescent="0.35">
      <c r="A16" s="158"/>
      <c r="B16" s="152" t="s">
        <v>330</v>
      </c>
      <c r="C16" s="4" t="s">
        <v>360</v>
      </c>
      <c r="D16" s="6" t="s">
        <v>117</v>
      </c>
      <c r="E16" s="4" t="s">
        <v>3</v>
      </c>
      <c r="F16" s="20">
        <v>321</v>
      </c>
      <c r="G16" s="20">
        <v>5</v>
      </c>
      <c r="H16" s="159">
        <v>5</v>
      </c>
      <c r="I16" s="13">
        <v>317</v>
      </c>
      <c r="J16" s="13">
        <v>5</v>
      </c>
      <c r="K16" s="155">
        <v>5</v>
      </c>
      <c r="L16" s="10"/>
      <c r="M16" s="10"/>
      <c r="N16" s="140">
        <v>1</v>
      </c>
      <c r="O16" s="7">
        <v>270</v>
      </c>
      <c r="P16" s="7">
        <v>1</v>
      </c>
      <c r="Q16" s="140">
        <v>1</v>
      </c>
      <c r="R16" s="7"/>
      <c r="S16" s="7"/>
      <c r="T16" s="140">
        <v>5</v>
      </c>
      <c r="U16" s="7">
        <v>312</v>
      </c>
      <c r="V16" s="7">
        <v>5</v>
      </c>
      <c r="W16" s="140">
        <v>5</v>
      </c>
      <c r="X16" s="72">
        <v>298</v>
      </c>
      <c r="Y16" s="72">
        <v>3</v>
      </c>
      <c r="Z16" s="120">
        <v>3</v>
      </c>
      <c r="AA16" s="72">
        <v>294</v>
      </c>
      <c r="AB16" s="72">
        <v>3</v>
      </c>
      <c r="AC16" s="120">
        <v>3</v>
      </c>
      <c r="AD16" s="72">
        <v>298</v>
      </c>
      <c r="AE16" s="72">
        <v>3</v>
      </c>
      <c r="AF16" s="120">
        <v>3</v>
      </c>
    </row>
    <row r="17" spans="1:43" x14ac:dyDescent="0.35">
      <c r="A17" s="158"/>
      <c r="B17" s="154"/>
      <c r="C17" s="4" t="s">
        <v>363</v>
      </c>
      <c r="D17" s="6" t="s">
        <v>117</v>
      </c>
      <c r="E17" s="4" t="s">
        <v>3</v>
      </c>
      <c r="F17" s="19"/>
      <c r="G17" s="19"/>
      <c r="H17" s="161"/>
      <c r="I17" s="10">
        <v>316</v>
      </c>
      <c r="J17" s="10">
        <v>5</v>
      </c>
      <c r="K17" s="151"/>
      <c r="L17" s="10">
        <v>274</v>
      </c>
      <c r="M17" s="10">
        <v>1</v>
      </c>
      <c r="N17" s="141"/>
      <c r="O17" s="7">
        <v>268</v>
      </c>
      <c r="P17" s="7">
        <v>1</v>
      </c>
      <c r="Q17" s="141"/>
      <c r="R17" s="10">
        <v>345</v>
      </c>
      <c r="S17" s="10">
        <v>5</v>
      </c>
      <c r="T17" s="141"/>
      <c r="U17" s="10">
        <v>311</v>
      </c>
      <c r="V17" s="10">
        <v>5</v>
      </c>
      <c r="W17" s="141"/>
      <c r="X17" s="72">
        <v>295</v>
      </c>
      <c r="Y17" s="72">
        <v>3</v>
      </c>
      <c r="Z17" s="120"/>
      <c r="AA17" s="72">
        <v>289</v>
      </c>
      <c r="AB17" s="72">
        <v>3</v>
      </c>
      <c r="AC17" s="120"/>
      <c r="AD17" s="72"/>
      <c r="AE17" s="72"/>
      <c r="AF17" s="120"/>
    </row>
    <row r="18" spans="1:43" x14ac:dyDescent="0.35">
      <c r="A18" s="158"/>
      <c r="B18" s="157" t="s">
        <v>364</v>
      </c>
      <c r="C18" s="4" t="s">
        <v>365</v>
      </c>
      <c r="D18" s="5" t="s">
        <v>117</v>
      </c>
      <c r="E18" s="4" t="s">
        <v>1</v>
      </c>
      <c r="F18" s="20">
        <v>3350</v>
      </c>
      <c r="G18" s="20"/>
      <c r="H18" s="159"/>
      <c r="I18" s="21">
        <v>3350</v>
      </c>
      <c r="J18" s="21"/>
      <c r="K18" s="183"/>
      <c r="L18" s="21">
        <v>3400</v>
      </c>
      <c r="M18" s="21"/>
      <c r="N18" s="183"/>
      <c r="O18" s="7">
        <v>3380</v>
      </c>
      <c r="P18" s="7"/>
      <c r="Q18" s="140"/>
      <c r="R18" s="7">
        <v>3450</v>
      </c>
      <c r="S18" s="7"/>
      <c r="T18" s="140"/>
      <c r="U18" s="7">
        <v>3350</v>
      </c>
      <c r="V18" s="7"/>
      <c r="W18" s="140"/>
      <c r="X18" s="72">
        <v>3380</v>
      </c>
      <c r="Y18" s="72"/>
      <c r="Z18" s="120"/>
      <c r="AA18" s="72">
        <v>3350</v>
      </c>
      <c r="AB18" s="72"/>
      <c r="AC18" s="120"/>
      <c r="AD18" s="72">
        <v>3900</v>
      </c>
      <c r="AE18" s="72"/>
      <c r="AF18" s="120"/>
    </row>
    <row r="19" spans="1:43" x14ac:dyDescent="0.35">
      <c r="A19" s="158"/>
      <c r="B19" s="157"/>
      <c r="C19" s="4" t="s">
        <v>366</v>
      </c>
      <c r="D19" s="5" t="s">
        <v>117</v>
      </c>
      <c r="E19" s="4" t="s">
        <v>1</v>
      </c>
      <c r="F19" s="20">
        <v>6900</v>
      </c>
      <c r="G19" s="20"/>
      <c r="H19" s="160"/>
      <c r="I19" s="21">
        <v>6900</v>
      </c>
      <c r="J19" s="21"/>
      <c r="K19" s="185"/>
      <c r="L19" s="7">
        <v>7000</v>
      </c>
      <c r="M19" s="7"/>
      <c r="N19" s="185"/>
      <c r="O19" s="7">
        <v>7060</v>
      </c>
      <c r="P19" s="7"/>
      <c r="Q19" s="139"/>
      <c r="R19" s="7">
        <v>7000</v>
      </c>
      <c r="S19" s="7"/>
      <c r="T19" s="139"/>
      <c r="U19" s="7">
        <v>7000</v>
      </c>
      <c r="V19" s="7"/>
      <c r="W19" s="139"/>
      <c r="X19" s="72">
        <v>7060</v>
      </c>
      <c r="Y19" s="72"/>
      <c r="Z19" s="120"/>
      <c r="AA19" s="72">
        <v>7100</v>
      </c>
      <c r="AB19" s="72"/>
      <c r="AC19" s="120"/>
      <c r="AD19" s="72">
        <v>7000</v>
      </c>
      <c r="AE19" s="72"/>
      <c r="AF19" s="120"/>
    </row>
    <row r="20" spans="1:43" x14ac:dyDescent="0.35">
      <c r="A20" s="158"/>
      <c r="B20" s="157"/>
      <c r="C20" s="4" t="s">
        <v>430</v>
      </c>
      <c r="D20" s="5" t="s">
        <v>118</v>
      </c>
      <c r="E20" s="4" t="s">
        <v>1</v>
      </c>
      <c r="F20" s="20"/>
      <c r="G20" s="20"/>
      <c r="H20" s="160"/>
      <c r="I20" s="12"/>
      <c r="J20" s="12"/>
      <c r="K20" s="185"/>
      <c r="L20" s="7"/>
      <c r="M20" s="7"/>
      <c r="N20" s="185"/>
      <c r="O20" s="7"/>
      <c r="P20" s="7"/>
      <c r="Q20" s="139"/>
      <c r="R20" s="7"/>
      <c r="S20" s="7"/>
      <c r="T20" s="139"/>
      <c r="U20" s="12"/>
      <c r="V20" s="12"/>
      <c r="W20" s="139"/>
      <c r="X20" s="72"/>
      <c r="Y20" s="72"/>
      <c r="Z20" s="120"/>
      <c r="AA20" s="72"/>
      <c r="AB20" s="72"/>
      <c r="AC20" s="120"/>
      <c r="AD20" s="72"/>
      <c r="AE20" s="72"/>
      <c r="AF20" s="120"/>
    </row>
    <row r="21" spans="1:43" s="14" customFormat="1" ht="17.25" thickBot="1" x14ac:dyDescent="0.3">
      <c r="A21" s="158"/>
      <c r="B21" s="157"/>
      <c r="C21" s="14" t="s">
        <v>470</v>
      </c>
      <c r="D21" s="5" t="s">
        <v>118</v>
      </c>
      <c r="E21" s="4" t="s">
        <v>1</v>
      </c>
      <c r="F21" s="21"/>
      <c r="G21" s="21"/>
      <c r="H21" s="161"/>
      <c r="I21" s="12"/>
      <c r="J21" s="12"/>
      <c r="K21" s="184"/>
      <c r="L21" s="21"/>
      <c r="M21" s="21"/>
      <c r="N21" s="184"/>
      <c r="O21" s="21"/>
      <c r="P21" s="21"/>
      <c r="Q21" s="141"/>
      <c r="R21" s="21"/>
      <c r="S21" s="21"/>
      <c r="T21" s="141"/>
      <c r="U21" s="21"/>
      <c r="V21" s="21"/>
      <c r="W21" s="141"/>
      <c r="X21" s="72"/>
      <c r="Y21" s="72"/>
      <c r="Z21" s="120"/>
      <c r="AA21" s="72"/>
      <c r="AB21" s="72"/>
      <c r="AC21" s="120"/>
      <c r="AD21" s="72"/>
      <c r="AE21" s="72"/>
      <c r="AF21" s="120"/>
    </row>
    <row r="22" spans="1:43" s="14" customFormat="1" ht="33" x14ac:dyDescent="0.25">
      <c r="A22" s="158"/>
      <c r="B22" s="157" t="s">
        <v>333</v>
      </c>
      <c r="C22" s="4" t="s">
        <v>333</v>
      </c>
      <c r="D22" s="5" t="s">
        <v>118</v>
      </c>
      <c r="E22" s="4" t="s">
        <v>367</v>
      </c>
      <c r="F22" s="14" t="s">
        <v>144</v>
      </c>
      <c r="G22" s="14">
        <v>3</v>
      </c>
      <c r="H22" s="140">
        <v>3</v>
      </c>
      <c r="I22" s="14" t="s">
        <v>121</v>
      </c>
      <c r="J22" s="7">
        <v>5</v>
      </c>
      <c r="K22" s="140">
        <v>3</v>
      </c>
      <c r="L22" s="21"/>
      <c r="M22" s="21"/>
      <c r="N22" s="183">
        <v>2.6</v>
      </c>
      <c r="O22" s="7" t="s">
        <v>370</v>
      </c>
      <c r="P22" s="7">
        <v>3</v>
      </c>
      <c r="Q22" s="140">
        <v>3.8</v>
      </c>
      <c r="R22" s="21"/>
      <c r="S22" s="21"/>
      <c r="T22" s="183">
        <v>2.2000000000000002</v>
      </c>
      <c r="U22" s="7" t="s">
        <v>121</v>
      </c>
      <c r="V22" s="7">
        <v>5</v>
      </c>
      <c r="W22" s="140">
        <v>2</v>
      </c>
      <c r="X22" s="72" t="s">
        <v>144</v>
      </c>
      <c r="Y22" s="72">
        <v>3</v>
      </c>
      <c r="Z22" s="120">
        <v>2.7</v>
      </c>
      <c r="AA22" s="72" t="s">
        <v>370</v>
      </c>
      <c r="AB22" s="72">
        <v>3</v>
      </c>
      <c r="AC22" s="120">
        <v>3.3</v>
      </c>
      <c r="AD22" s="72" t="s">
        <v>144</v>
      </c>
      <c r="AE22" s="72">
        <v>3</v>
      </c>
      <c r="AF22" s="120">
        <v>2.7</v>
      </c>
      <c r="AH22" s="44"/>
      <c r="AI22" s="45" t="s">
        <v>242</v>
      </c>
      <c r="AJ22" s="45" t="s">
        <v>243</v>
      </c>
      <c r="AK22" s="45" t="s">
        <v>244</v>
      </c>
      <c r="AL22" s="45" t="s">
        <v>245</v>
      </c>
      <c r="AM22" s="45" t="s">
        <v>246</v>
      </c>
      <c r="AN22" s="45" t="s">
        <v>247</v>
      </c>
      <c r="AO22" s="45" t="s">
        <v>248</v>
      </c>
      <c r="AP22" s="45" t="s">
        <v>249</v>
      </c>
      <c r="AQ22" s="46" t="s">
        <v>250</v>
      </c>
    </row>
    <row r="23" spans="1:43" x14ac:dyDescent="0.35">
      <c r="A23" s="158"/>
      <c r="B23" s="157"/>
      <c r="C23" s="4" t="s">
        <v>371</v>
      </c>
      <c r="D23" s="5"/>
      <c r="E23" s="4" t="s">
        <v>15</v>
      </c>
      <c r="F23" s="20" t="s">
        <v>251</v>
      </c>
      <c r="G23" s="20">
        <v>1</v>
      </c>
      <c r="H23" s="139"/>
      <c r="I23" s="7" t="s">
        <v>252</v>
      </c>
      <c r="J23" s="7">
        <v>3</v>
      </c>
      <c r="K23" s="139"/>
      <c r="L23" s="10" t="s">
        <v>253</v>
      </c>
      <c r="M23" s="10">
        <v>5</v>
      </c>
      <c r="N23" s="185"/>
      <c r="O23" s="7" t="s">
        <v>254</v>
      </c>
      <c r="P23" s="7">
        <v>3</v>
      </c>
      <c r="Q23" s="139"/>
      <c r="R23" s="10" t="s">
        <v>255</v>
      </c>
      <c r="S23" s="10">
        <v>1</v>
      </c>
      <c r="T23" s="185"/>
      <c r="U23" s="10" t="s">
        <v>256</v>
      </c>
      <c r="V23" s="10">
        <v>3</v>
      </c>
      <c r="W23" s="139"/>
      <c r="X23" s="72" t="s">
        <v>257</v>
      </c>
      <c r="Y23" s="72">
        <v>5</v>
      </c>
      <c r="Z23" s="120"/>
      <c r="AA23" s="72" t="s">
        <v>254</v>
      </c>
      <c r="AB23" s="72">
        <v>5</v>
      </c>
      <c r="AC23" s="120"/>
      <c r="AD23" s="72">
        <v>720</v>
      </c>
      <c r="AE23" s="72">
        <v>1</v>
      </c>
      <c r="AF23" s="120"/>
      <c r="AH23" s="47" t="s">
        <v>320</v>
      </c>
      <c r="AI23" s="9">
        <v>2</v>
      </c>
      <c r="AJ23" s="9">
        <v>3</v>
      </c>
      <c r="AK23" s="9">
        <v>4</v>
      </c>
      <c r="AL23" s="9">
        <v>3</v>
      </c>
      <c r="AM23" s="9">
        <v>2</v>
      </c>
      <c r="AN23" s="9">
        <v>3.5</v>
      </c>
      <c r="AO23" s="9">
        <v>3</v>
      </c>
      <c r="AP23" s="9">
        <v>2</v>
      </c>
      <c r="AQ23" s="48">
        <v>2</v>
      </c>
    </row>
    <row r="24" spans="1:43" x14ac:dyDescent="0.35">
      <c r="A24" s="158"/>
      <c r="B24" s="157"/>
      <c r="C24" s="4" t="s">
        <v>372</v>
      </c>
      <c r="D24" s="5"/>
      <c r="E24" s="4" t="s">
        <v>16</v>
      </c>
      <c r="F24" s="20">
        <v>34.299999999999997</v>
      </c>
      <c r="G24" s="20">
        <v>3</v>
      </c>
      <c r="H24" s="139"/>
      <c r="I24" s="10">
        <v>35</v>
      </c>
      <c r="J24" s="10">
        <v>3</v>
      </c>
      <c r="K24" s="139"/>
      <c r="L24" s="10">
        <v>31.9</v>
      </c>
      <c r="M24" s="10">
        <v>1</v>
      </c>
      <c r="N24" s="185"/>
      <c r="O24" s="7">
        <v>37.299999999999997</v>
      </c>
      <c r="P24" s="7">
        <v>5</v>
      </c>
      <c r="Q24" s="139"/>
      <c r="R24" s="7">
        <v>34.299999999999997</v>
      </c>
      <c r="S24" s="7">
        <v>3</v>
      </c>
      <c r="T24" s="185"/>
      <c r="U24" s="7">
        <v>32.4</v>
      </c>
      <c r="V24" s="7">
        <v>1</v>
      </c>
      <c r="W24" s="139"/>
      <c r="X24" s="72">
        <v>32.4</v>
      </c>
      <c r="Y24" s="72">
        <v>1</v>
      </c>
      <c r="Z24" s="120"/>
      <c r="AA24" s="72">
        <v>32.4</v>
      </c>
      <c r="AB24" s="72">
        <v>1</v>
      </c>
      <c r="AC24" s="120"/>
      <c r="AD24" s="72">
        <v>34.299999999999997</v>
      </c>
      <c r="AE24" s="72">
        <v>3</v>
      </c>
      <c r="AF24" s="120"/>
      <c r="AH24" s="47" t="s">
        <v>324</v>
      </c>
      <c r="AI24" s="9">
        <v>2</v>
      </c>
      <c r="AJ24" s="9">
        <v>3</v>
      </c>
      <c r="AK24" s="9">
        <v>3</v>
      </c>
      <c r="AL24" s="9">
        <v>2.5</v>
      </c>
      <c r="AM24" s="9">
        <v>2.5</v>
      </c>
      <c r="AN24" s="9">
        <v>3</v>
      </c>
      <c r="AO24" s="9">
        <v>3</v>
      </c>
      <c r="AP24" s="9">
        <v>3</v>
      </c>
      <c r="AQ24" s="48">
        <v>2.5</v>
      </c>
    </row>
    <row r="25" spans="1:43" x14ac:dyDescent="0.35">
      <c r="A25" s="158"/>
      <c r="B25" s="157"/>
      <c r="C25" s="4" t="s">
        <v>373</v>
      </c>
      <c r="D25" s="5"/>
      <c r="E25" s="4" t="s">
        <v>16</v>
      </c>
      <c r="F25" s="20">
        <v>34.299999999999997</v>
      </c>
      <c r="G25" s="20">
        <v>3</v>
      </c>
      <c r="H25" s="139"/>
      <c r="I25" s="10">
        <v>35</v>
      </c>
      <c r="J25" s="10">
        <v>3</v>
      </c>
      <c r="K25" s="139"/>
      <c r="L25" s="10">
        <v>35.299999999999997</v>
      </c>
      <c r="M25" s="10">
        <v>3</v>
      </c>
      <c r="N25" s="185"/>
      <c r="O25" s="7">
        <v>37.299999999999997</v>
      </c>
      <c r="P25" s="7">
        <v>5</v>
      </c>
      <c r="Q25" s="139"/>
      <c r="R25" s="7">
        <v>34.299999999999997</v>
      </c>
      <c r="S25" s="7">
        <v>3</v>
      </c>
      <c r="T25" s="185"/>
      <c r="U25" s="7">
        <v>32.4</v>
      </c>
      <c r="V25" s="7">
        <v>1</v>
      </c>
      <c r="W25" s="139"/>
      <c r="X25" s="72">
        <v>35.299999999999997</v>
      </c>
      <c r="Y25" s="72">
        <v>3</v>
      </c>
      <c r="Z25" s="120"/>
      <c r="AA25" s="72">
        <v>34.299999999999997</v>
      </c>
      <c r="AB25" s="72">
        <v>3</v>
      </c>
      <c r="AC25" s="120"/>
      <c r="AD25" s="72">
        <v>34.299999999999997</v>
      </c>
      <c r="AE25" s="72">
        <v>3</v>
      </c>
      <c r="AF25" s="120"/>
      <c r="AH25" s="47" t="s">
        <v>374</v>
      </c>
      <c r="AI25" s="9">
        <v>2.2999999999999998</v>
      </c>
      <c r="AJ25" s="9">
        <v>2.2000000000000002</v>
      </c>
      <c r="AK25" s="9">
        <v>3.3</v>
      </c>
      <c r="AL25" s="9">
        <v>3.3</v>
      </c>
      <c r="AM25" s="9">
        <v>3</v>
      </c>
      <c r="AN25" s="9">
        <v>3</v>
      </c>
      <c r="AO25" s="9">
        <v>3.4</v>
      </c>
      <c r="AP25" s="9">
        <v>3.7</v>
      </c>
      <c r="AQ25" s="48">
        <v>4.5999999999999996</v>
      </c>
    </row>
    <row r="26" spans="1:43" x14ac:dyDescent="0.35">
      <c r="A26" s="158"/>
      <c r="B26" s="157"/>
      <c r="C26" s="4" t="s">
        <v>375</v>
      </c>
      <c r="D26" s="5"/>
      <c r="E26" s="4" t="s">
        <v>16</v>
      </c>
      <c r="F26" s="20">
        <v>31</v>
      </c>
      <c r="G26" s="20">
        <v>5</v>
      </c>
      <c r="H26" s="139"/>
      <c r="I26" s="10">
        <v>26</v>
      </c>
      <c r="J26" s="10">
        <v>1</v>
      </c>
      <c r="K26" s="139"/>
      <c r="L26" s="10">
        <v>28.4</v>
      </c>
      <c r="M26" s="10">
        <v>3</v>
      </c>
      <c r="N26" s="185"/>
      <c r="O26" s="7">
        <v>27.9</v>
      </c>
      <c r="P26" s="7">
        <v>3</v>
      </c>
      <c r="Q26" s="139"/>
      <c r="R26" s="7">
        <v>26</v>
      </c>
      <c r="S26" s="7">
        <v>1</v>
      </c>
      <c r="T26" s="185"/>
      <c r="U26" s="7">
        <v>25.8</v>
      </c>
      <c r="V26" s="7">
        <v>1</v>
      </c>
      <c r="W26" s="139"/>
      <c r="X26" s="72">
        <v>28.4</v>
      </c>
      <c r="Y26" s="72">
        <v>3</v>
      </c>
      <c r="Z26" s="120"/>
      <c r="AA26" s="72">
        <v>29.4</v>
      </c>
      <c r="AB26" s="72">
        <v>5</v>
      </c>
      <c r="AC26" s="120"/>
      <c r="AD26" s="72">
        <v>27.5</v>
      </c>
      <c r="AE26" s="72">
        <v>3</v>
      </c>
      <c r="AF26" s="120"/>
      <c r="AH26" s="47" t="s">
        <v>330</v>
      </c>
      <c r="AI26" s="9">
        <v>5</v>
      </c>
      <c r="AJ26" s="9">
        <v>5</v>
      </c>
      <c r="AK26" s="9">
        <v>1</v>
      </c>
      <c r="AL26" s="9">
        <v>1</v>
      </c>
      <c r="AM26" s="9">
        <v>5</v>
      </c>
      <c r="AN26" s="9">
        <v>5</v>
      </c>
      <c r="AO26" s="9">
        <v>3</v>
      </c>
      <c r="AP26" s="9">
        <v>3</v>
      </c>
      <c r="AQ26" s="48">
        <v>3</v>
      </c>
    </row>
    <row r="27" spans="1:43" x14ac:dyDescent="0.35">
      <c r="A27" s="158"/>
      <c r="B27" s="157"/>
      <c r="C27" s="4" t="s">
        <v>122</v>
      </c>
      <c r="D27" s="5"/>
      <c r="E27" s="4" t="s">
        <v>16</v>
      </c>
      <c r="F27" s="20">
        <v>37</v>
      </c>
      <c r="G27" s="20">
        <v>3</v>
      </c>
      <c r="H27" s="139"/>
      <c r="I27" s="10">
        <v>38</v>
      </c>
      <c r="J27" s="10">
        <v>3</v>
      </c>
      <c r="K27" s="139"/>
      <c r="L27" s="10">
        <v>35.299999999999997</v>
      </c>
      <c r="M27" s="10">
        <v>1</v>
      </c>
      <c r="N27" s="185"/>
      <c r="O27" s="10" t="s">
        <v>123</v>
      </c>
      <c r="P27" s="10"/>
      <c r="Q27" s="139"/>
      <c r="R27" s="10">
        <v>37.799999999999997</v>
      </c>
      <c r="S27" s="10">
        <v>3</v>
      </c>
      <c r="T27" s="185"/>
      <c r="U27" s="7">
        <v>35.299999999999997</v>
      </c>
      <c r="V27" s="7">
        <v>1</v>
      </c>
      <c r="W27" s="139"/>
      <c r="X27" s="72">
        <v>35.299999999999997</v>
      </c>
      <c r="Y27" s="72">
        <v>1</v>
      </c>
      <c r="Z27" s="120"/>
      <c r="AA27" s="72">
        <v>34.299999999999997</v>
      </c>
      <c r="AB27" s="72">
        <v>3</v>
      </c>
      <c r="AC27" s="120"/>
      <c r="AD27" s="72">
        <v>37.299999999999997</v>
      </c>
      <c r="AE27" s="72">
        <v>3</v>
      </c>
      <c r="AF27" s="120"/>
      <c r="AH27" s="47" t="s">
        <v>333</v>
      </c>
      <c r="AI27" s="9">
        <v>3</v>
      </c>
      <c r="AJ27" s="9">
        <v>3</v>
      </c>
      <c r="AK27" s="9">
        <v>2.6</v>
      </c>
      <c r="AL27" s="9">
        <v>3.8</v>
      </c>
      <c r="AM27" s="9">
        <v>2.2000000000000002</v>
      </c>
      <c r="AN27" s="9">
        <v>2</v>
      </c>
      <c r="AO27" s="9">
        <v>2.7</v>
      </c>
      <c r="AP27" s="9">
        <v>3.3</v>
      </c>
      <c r="AQ27" s="48">
        <v>2.7</v>
      </c>
    </row>
    <row r="28" spans="1:43" x14ac:dyDescent="0.35">
      <c r="A28" s="158"/>
      <c r="B28" s="157"/>
      <c r="C28" s="4" t="s">
        <v>376</v>
      </c>
      <c r="D28" s="5" t="s">
        <v>119</v>
      </c>
      <c r="E28" s="4" t="s">
        <v>15</v>
      </c>
      <c r="F28" s="21"/>
      <c r="G28" s="21"/>
      <c r="H28" s="139"/>
      <c r="I28" s="21"/>
      <c r="J28" s="21"/>
      <c r="K28" s="139"/>
      <c r="L28" s="21"/>
      <c r="M28" s="21"/>
      <c r="N28" s="185"/>
      <c r="O28" s="21"/>
      <c r="P28" s="21"/>
      <c r="Q28" s="139"/>
      <c r="R28" s="10"/>
      <c r="S28" s="10"/>
      <c r="T28" s="185"/>
      <c r="U28" s="21"/>
      <c r="V28" s="21"/>
      <c r="W28" s="139"/>
      <c r="X28" s="72"/>
      <c r="Y28" s="72"/>
      <c r="Z28" s="120"/>
      <c r="AA28" s="72"/>
      <c r="AB28" s="72"/>
      <c r="AC28" s="120"/>
      <c r="AD28" s="72"/>
      <c r="AE28" s="72"/>
      <c r="AF28" s="120"/>
      <c r="AH28" s="47" t="s">
        <v>336</v>
      </c>
      <c r="AI28" s="9">
        <v>3</v>
      </c>
      <c r="AJ28" s="9">
        <v>2</v>
      </c>
      <c r="AK28" s="9">
        <v>4</v>
      </c>
      <c r="AL28" s="9">
        <v>3</v>
      </c>
      <c r="AM28" s="9">
        <v>4</v>
      </c>
      <c r="AN28" s="9">
        <v>3</v>
      </c>
      <c r="AO28" s="9">
        <v>4</v>
      </c>
      <c r="AP28" s="9">
        <v>4</v>
      </c>
      <c r="AQ28" s="48">
        <v>3</v>
      </c>
    </row>
    <row r="29" spans="1:43" x14ac:dyDescent="0.35">
      <c r="A29" s="158"/>
      <c r="B29" s="157"/>
      <c r="C29" s="4" t="s">
        <v>377</v>
      </c>
      <c r="D29" s="5"/>
      <c r="E29" s="4" t="s">
        <v>17</v>
      </c>
      <c r="F29" s="21"/>
      <c r="G29" s="21"/>
      <c r="H29" s="139"/>
      <c r="I29" s="21"/>
      <c r="J29" s="21"/>
      <c r="K29" s="139"/>
      <c r="L29" s="21"/>
      <c r="M29" s="21"/>
      <c r="N29" s="185"/>
      <c r="O29" s="21"/>
      <c r="P29" s="21"/>
      <c r="Q29" s="139"/>
      <c r="R29" s="7"/>
      <c r="S29" s="7"/>
      <c r="T29" s="185"/>
      <c r="U29" s="21"/>
      <c r="V29" s="21"/>
      <c r="W29" s="139"/>
      <c r="X29" s="72"/>
      <c r="Y29" s="72"/>
      <c r="Z29" s="120"/>
      <c r="AA29" s="72"/>
      <c r="AB29" s="72"/>
      <c r="AC29" s="120"/>
      <c r="AD29" s="72"/>
      <c r="AE29" s="72"/>
      <c r="AF29" s="120"/>
      <c r="AH29" s="47" t="s">
        <v>339</v>
      </c>
      <c r="AI29" s="9">
        <v>3</v>
      </c>
      <c r="AJ29" s="9">
        <v>3</v>
      </c>
      <c r="AK29" s="9">
        <v>3</v>
      </c>
      <c r="AL29" s="9">
        <v>2</v>
      </c>
      <c r="AM29" s="9">
        <v>3</v>
      </c>
      <c r="AN29" s="9">
        <v>3</v>
      </c>
      <c r="AO29" s="9">
        <v>3</v>
      </c>
      <c r="AP29" s="9">
        <v>4</v>
      </c>
      <c r="AQ29" s="48">
        <v>1</v>
      </c>
    </row>
    <row r="30" spans="1:43" x14ac:dyDescent="0.35">
      <c r="A30" s="158"/>
      <c r="B30" s="157"/>
      <c r="C30" s="4" t="s">
        <v>378</v>
      </c>
      <c r="D30" s="5"/>
      <c r="E30" s="4" t="s">
        <v>15</v>
      </c>
      <c r="F30" s="21"/>
      <c r="G30" s="21"/>
      <c r="H30" s="139"/>
      <c r="I30" s="21"/>
      <c r="J30" s="21"/>
      <c r="K30" s="139"/>
      <c r="L30" s="21"/>
      <c r="M30" s="21"/>
      <c r="N30" s="185"/>
      <c r="O30" s="21"/>
      <c r="P30" s="21"/>
      <c r="Q30" s="139"/>
      <c r="R30" s="7"/>
      <c r="S30" s="7"/>
      <c r="T30" s="185"/>
      <c r="U30" s="21"/>
      <c r="V30" s="21"/>
      <c r="W30" s="139"/>
      <c r="X30" s="72"/>
      <c r="Y30" s="72"/>
      <c r="Z30" s="120"/>
      <c r="AA30" s="72"/>
      <c r="AB30" s="72"/>
      <c r="AC30" s="120"/>
      <c r="AD30" s="72"/>
      <c r="AE30" s="72"/>
      <c r="AF30" s="120"/>
      <c r="AH30" s="47" t="s">
        <v>342</v>
      </c>
      <c r="AI30" s="9">
        <v>3</v>
      </c>
      <c r="AJ30" s="9">
        <v>1</v>
      </c>
      <c r="AK30" s="9">
        <v>4</v>
      </c>
      <c r="AL30" s="9">
        <v>3</v>
      </c>
      <c r="AM30" s="9">
        <v>5</v>
      </c>
      <c r="AN30" s="9">
        <v>3</v>
      </c>
      <c r="AO30" s="9">
        <v>2</v>
      </c>
      <c r="AP30" s="9">
        <v>3</v>
      </c>
      <c r="AQ30" s="48">
        <v>2</v>
      </c>
    </row>
    <row r="31" spans="1:43" ht="17.25" thickBot="1" x14ac:dyDescent="0.4">
      <c r="A31" s="158"/>
      <c r="B31" s="157"/>
      <c r="C31" s="4" t="s">
        <v>379</v>
      </c>
      <c r="D31" s="5" t="s">
        <v>119</v>
      </c>
      <c r="E31" s="4" t="s">
        <v>17</v>
      </c>
      <c r="F31" s="21"/>
      <c r="G31" s="21"/>
      <c r="H31" s="141"/>
      <c r="I31" s="21"/>
      <c r="J31" s="21"/>
      <c r="K31" s="141"/>
      <c r="L31" s="21"/>
      <c r="M31" s="21"/>
      <c r="N31" s="184"/>
      <c r="O31" s="21"/>
      <c r="P31" s="21"/>
      <c r="Q31" s="141"/>
      <c r="R31" s="7"/>
      <c r="S31" s="7"/>
      <c r="T31" s="184"/>
      <c r="U31" s="21"/>
      <c r="V31" s="21"/>
      <c r="W31" s="141"/>
      <c r="X31" s="72"/>
      <c r="Y31" s="72"/>
      <c r="Z31" s="120"/>
      <c r="AA31" s="72"/>
      <c r="AB31" s="72"/>
      <c r="AC31" s="120"/>
      <c r="AD31" s="72"/>
      <c r="AE31" s="72"/>
      <c r="AF31" s="120"/>
      <c r="AH31" s="49" t="s">
        <v>345</v>
      </c>
      <c r="AI31" s="27">
        <v>1</v>
      </c>
      <c r="AJ31" s="27">
        <v>5</v>
      </c>
      <c r="AK31" s="27">
        <v>4</v>
      </c>
      <c r="AL31" s="27">
        <v>3</v>
      </c>
      <c r="AM31" s="27">
        <v>5</v>
      </c>
      <c r="AN31" s="27">
        <v>1</v>
      </c>
      <c r="AO31" s="27">
        <v>3</v>
      </c>
      <c r="AP31" s="27">
        <v>3</v>
      </c>
      <c r="AQ31" s="50">
        <v>4</v>
      </c>
    </row>
    <row r="32" spans="1:43" x14ac:dyDescent="0.35">
      <c r="A32" s="158"/>
      <c r="B32" s="159" t="s">
        <v>336</v>
      </c>
      <c r="C32" s="4" t="s">
        <v>380</v>
      </c>
      <c r="D32" s="6" t="s">
        <v>118</v>
      </c>
      <c r="E32" s="4" t="s">
        <v>18</v>
      </c>
      <c r="F32" s="20" t="s">
        <v>158</v>
      </c>
      <c r="G32" s="20">
        <v>3</v>
      </c>
      <c r="H32" s="159">
        <v>3</v>
      </c>
      <c r="I32" s="10" t="s">
        <v>258</v>
      </c>
      <c r="J32" s="10">
        <v>1</v>
      </c>
      <c r="K32" s="140">
        <v>2</v>
      </c>
      <c r="L32" s="10" t="s">
        <v>259</v>
      </c>
      <c r="M32" s="10">
        <v>5</v>
      </c>
      <c r="N32" s="140">
        <v>4</v>
      </c>
      <c r="O32" s="10" t="s">
        <v>152</v>
      </c>
      <c r="P32" s="10">
        <v>3</v>
      </c>
      <c r="Q32" s="140">
        <v>3</v>
      </c>
      <c r="R32" s="10" t="s">
        <v>158</v>
      </c>
      <c r="S32" s="10">
        <v>3</v>
      </c>
      <c r="T32" s="140">
        <v>4</v>
      </c>
      <c r="U32" s="10" t="s">
        <v>115</v>
      </c>
      <c r="V32" s="10">
        <v>3</v>
      </c>
      <c r="W32" s="140">
        <v>3</v>
      </c>
      <c r="X32" s="72" t="s">
        <v>260</v>
      </c>
      <c r="Y32" s="72">
        <v>3</v>
      </c>
      <c r="Z32" s="120">
        <v>4</v>
      </c>
      <c r="AA32" s="72" t="s">
        <v>124</v>
      </c>
      <c r="AB32" s="72">
        <v>3</v>
      </c>
      <c r="AC32" s="120">
        <v>4</v>
      </c>
      <c r="AD32" s="72" t="s">
        <v>157</v>
      </c>
      <c r="AE32" s="72">
        <v>3</v>
      </c>
      <c r="AF32" s="120">
        <v>3</v>
      </c>
      <c r="AH32" s="60" t="s">
        <v>382</v>
      </c>
      <c r="AI32" s="60">
        <v>2.7559999999999998</v>
      </c>
      <c r="AJ32" s="60">
        <v>3.024</v>
      </c>
      <c r="AK32" s="60">
        <v>3.1880000000000002</v>
      </c>
      <c r="AL32" s="60">
        <v>2.7320000000000002</v>
      </c>
      <c r="AM32" s="60">
        <v>3.6240000000000001</v>
      </c>
      <c r="AN32" s="60">
        <v>2.92</v>
      </c>
      <c r="AO32" s="60">
        <v>3.012</v>
      </c>
      <c r="AP32" s="60">
        <v>3.28</v>
      </c>
      <c r="AQ32" s="60">
        <v>2.7959999999999998</v>
      </c>
    </row>
    <row r="33" spans="1:43" ht="17.25" thickBot="1" x14ac:dyDescent="0.4">
      <c r="A33" s="158"/>
      <c r="B33" s="160"/>
      <c r="C33" s="4" t="s">
        <v>381</v>
      </c>
      <c r="D33" s="5" t="s">
        <v>117</v>
      </c>
      <c r="E33" s="4" t="s">
        <v>19</v>
      </c>
      <c r="F33" s="20">
        <v>338</v>
      </c>
      <c r="G33" s="20">
        <v>3</v>
      </c>
      <c r="H33" s="160"/>
      <c r="I33" s="10">
        <v>335</v>
      </c>
      <c r="J33" s="10">
        <v>3</v>
      </c>
      <c r="K33" s="139"/>
      <c r="L33" s="10">
        <v>329</v>
      </c>
      <c r="M33" s="10">
        <v>3</v>
      </c>
      <c r="N33" s="139"/>
      <c r="O33" s="7">
        <v>329</v>
      </c>
      <c r="P33" s="7">
        <v>3</v>
      </c>
      <c r="Q33" s="139"/>
      <c r="R33" s="10">
        <v>410</v>
      </c>
      <c r="S33" s="10">
        <v>5</v>
      </c>
      <c r="T33" s="139"/>
      <c r="U33" s="10">
        <v>333</v>
      </c>
      <c r="V33" s="10">
        <v>3</v>
      </c>
      <c r="W33" s="139"/>
      <c r="X33" s="72">
        <v>389</v>
      </c>
      <c r="Y33" s="72">
        <v>5</v>
      </c>
      <c r="Z33" s="120"/>
      <c r="AA33" s="72">
        <v>448</v>
      </c>
      <c r="AB33" s="72">
        <v>5</v>
      </c>
      <c r="AC33" s="120"/>
      <c r="AD33" s="72">
        <v>339</v>
      </c>
      <c r="AE33" s="72">
        <v>3</v>
      </c>
      <c r="AF33" s="120"/>
    </row>
    <row r="34" spans="1:43" s="14" customFormat="1" ht="33" x14ac:dyDescent="0.25">
      <c r="A34" s="158"/>
      <c r="B34" s="160"/>
      <c r="C34" s="4" t="s">
        <v>383</v>
      </c>
      <c r="D34" s="5" t="s">
        <v>118</v>
      </c>
      <c r="E34" s="4" t="s">
        <v>20</v>
      </c>
      <c r="F34" s="20"/>
      <c r="G34" s="20"/>
      <c r="H34" s="160"/>
      <c r="I34" s="7"/>
      <c r="J34" s="7"/>
      <c r="K34" s="139"/>
      <c r="L34" s="7" t="s">
        <v>261</v>
      </c>
      <c r="M34" s="7"/>
      <c r="N34" s="139"/>
      <c r="O34" s="7" t="s">
        <v>262</v>
      </c>
      <c r="P34" s="7"/>
      <c r="Q34" s="139"/>
      <c r="R34" s="7">
        <v>62.7</v>
      </c>
      <c r="S34" s="7"/>
      <c r="T34" s="139"/>
      <c r="U34" s="7" t="s">
        <v>263</v>
      </c>
      <c r="V34" s="7"/>
      <c r="W34" s="139"/>
      <c r="X34" s="72">
        <v>68.900000000000006</v>
      </c>
      <c r="Y34" s="72"/>
      <c r="Z34" s="120"/>
      <c r="AA34" s="72" t="s">
        <v>264</v>
      </c>
      <c r="AB34" s="72"/>
      <c r="AC34" s="120"/>
      <c r="AD34" s="72">
        <v>59</v>
      </c>
      <c r="AE34" s="72"/>
      <c r="AF34" s="120"/>
      <c r="AH34" s="44"/>
      <c r="AI34" s="45" t="s">
        <v>242</v>
      </c>
      <c r="AJ34" s="45" t="s">
        <v>243</v>
      </c>
      <c r="AK34" s="45" t="s">
        <v>244</v>
      </c>
      <c r="AL34" s="45" t="s">
        <v>245</v>
      </c>
      <c r="AM34" s="45" t="s">
        <v>246</v>
      </c>
      <c r="AN34" s="45" t="s">
        <v>247</v>
      </c>
      <c r="AO34" s="45" t="s">
        <v>248</v>
      </c>
      <c r="AP34" s="45" t="s">
        <v>249</v>
      </c>
      <c r="AQ34" s="46" t="s">
        <v>250</v>
      </c>
    </row>
    <row r="35" spans="1:43" x14ac:dyDescent="0.35">
      <c r="A35" s="158"/>
      <c r="B35" s="161"/>
      <c r="C35" s="4" t="s">
        <v>384</v>
      </c>
      <c r="D35" s="5" t="s">
        <v>118</v>
      </c>
      <c r="E35" s="4" t="s">
        <v>21</v>
      </c>
      <c r="F35" s="20">
        <v>35</v>
      </c>
      <c r="G35" s="20"/>
      <c r="H35" s="161"/>
      <c r="I35" s="10">
        <v>35</v>
      </c>
      <c r="J35" s="10"/>
      <c r="K35" s="141"/>
      <c r="L35" s="10">
        <v>35</v>
      </c>
      <c r="M35" s="10"/>
      <c r="N35" s="141"/>
      <c r="O35" s="7">
        <v>35</v>
      </c>
      <c r="P35" s="7"/>
      <c r="Q35" s="141"/>
      <c r="R35" s="7"/>
      <c r="S35" s="7"/>
      <c r="T35" s="141"/>
      <c r="U35" s="7">
        <v>35</v>
      </c>
      <c r="V35" s="7"/>
      <c r="W35" s="141"/>
      <c r="X35" s="72"/>
      <c r="Y35" s="72"/>
      <c r="Z35" s="120"/>
      <c r="AA35" s="72">
        <v>35</v>
      </c>
      <c r="AB35" s="72"/>
      <c r="AC35" s="120"/>
      <c r="AD35" s="72">
        <v>35</v>
      </c>
      <c r="AE35" s="72"/>
      <c r="AF35" s="120"/>
      <c r="AH35" s="47" t="s">
        <v>350</v>
      </c>
      <c r="AI35" s="9">
        <v>1.1000000000000001</v>
      </c>
      <c r="AJ35" s="9">
        <v>1.4</v>
      </c>
      <c r="AK35" s="9">
        <v>2</v>
      </c>
      <c r="AL35" s="9">
        <v>0.8</v>
      </c>
      <c r="AM35" s="9">
        <v>1.5</v>
      </c>
      <c r="AN35" s="9">
        <v>1.3</v>
      </c>
      <c r="AO35" s="9">
        <v>1.3</v>
      </c>
      <c r="AP35" s="9">
        <v>1.4</v>
      </c>
      <c r="AQ35" s="48">
        <v>0.4</v>
      </c>
    </row>
    <row r="36" spans="1:43" x14ac:dyDescent="0.35">
      <c r="A36" s="158"/>
      <c r="B36" s="159" t="s">
        <v>339</v>
      </c>
      <c r="C36" s="4" t="s">
        <v>385</v>
      </c>
      <c r="D36" s="5"/>
      <c r="E36" s="4" t="s">
        <v>22</v>
      </c>
      <c r="F36" s="20">
        <v>9.1999999999999993</v>
      </c>
      <c r="G36" s="20">
        <v>3</v>
      </c>
      <c r="H36" s="159">
        <v>3</v>
      </c>
      <c r="I36" s="10">
        <v>8.44</v>
      </c>
      <c r="J36" s="10">
        <v>1</v>
      </c>
      <c r="K36" s="140">
        <v>3</v>
      </c>
      <c r="L36" s="10">
        <v>9.5</v>
      </c>
      <c r="M36" s="10">
        <v>5</v>
      </c>
      <c r="N36" s="140">
        <v>3</v>
      </c>
      <c r="O36" s="7">
        <v>9.1</v>
      </c>
      <c r="P36" s="7">
        <v>3</v>
      </c>
      <c r="Q36" s="140">
        <v>2</v>
      </c>
      <c r="R36" s="10">
        <v>7.5</v>
      </c>
      <c r="S36" s="10">
        <v>1</v>
      </c>
      <c r="T36" s="140">
        <v>3</v>
      </c>
      <c r="U36" s="10">
        <v>9.3000000000000007</v>
      </c>
      <c r="V36" s="10">
        <v>3</v>
      </c>
      <c r="W36" s="140">
        <v>3</v>
      </c>
      <c r="X36" s="72">
        <v>9</v>
      </c>
      <c r="Y36" s="72">
        <v>3</v>
      </c>
      <c r="Z36" s="120">
        <v>3</v>
      </c>
      <c r="AA36" s="72">
        <v>9.1999999999999993</v>
      </c>
      <c r="AB36" s="72">
        <v>3</v>
      </c>
      <c r="AC36" s="120">
        <v>4</v>
      </c>
      <c r="AD36" s="72">
        <v>8</v>
      </c>
      <c r="AE36" s="72">
        <v>1</v>
      </c>
      <c r="AF36" s="120">
        <v>1</v>
      </c>
      <c r="AH36" s="47" t="s">
        <v>333</v>
      </c>
      <c r="AI36" s="9">
        <v>0.4</v>
      </c>
      <c r="AJ36" s="9">
        <v>0.8</v>
      </c>
      <c r="AK36" s="9">
        <v>0.6</v>
      </c>
      <c r="AL36" s="9">
        <v>0.3</v>
      </c>
      <c r="AM36" s="9">
        <v>0.6</v>
      </c>
      <c r="AN36" s="9">
        <v>0.6</v>
      </c>
      <c r="AO36" s="9">
        <v>0.8</v>
      </c>
      <c r="AP36" s="9">
        <v>0.4</v>
      </c>
      <c r="AQ36" s="48">
        <v>0.7</v>
      </c>
    </row>
    <row r="37" spans="1:43" x14ac:dyDescent="0.35">
      <c r="A37" s="158"/>
      <c r="B37" s="161"/>
      <c r="C37" s="4" t="s">
        <v>467</v>
      </c>
      <c r="D37" s="5"/>
      <c r="E37" s="4" t="s">
        <v>19</v>
      </c>
      <c r="F37" s="20">
        <v>166</v>
      </c>
      <c r="G37" s="20">
        <v>3</v>
      </c>
      <c r="H37" s="161"/>
      <c r="I37" s="7">
        <v>187</v>
      </c>
      <c r="J37" s="7">
        <v>5</v>
      </c>
      <c r="K37" s="141"/>
      <c r="L37" s="13">
        <v>148</v>
      </c>
      <c r="M37" s="13">
        <v>1</v>
      </c>
      <c r="N37" s="141"/>
      <c r="O37" s="7">
        <v>131</v>
      </c>
      <c r="P37" s="7">
        <v>1</v>
      </c>
      <c r="Q37" s="141"/>
      <c r="R37" s="7">
        <v>188.4</v>
      </c>
      <c r="S37" s="7">
        <v>5</v>
      </c>
      <c r="T37" s="141"/>
      <c r="U37" s="7">
        <v>166</v>
      </c>
      <c r="V37" s="7">
        <v>3</v>
      </c>
      <c r="W37" s="141"/>
      <c r="X37" s="72"/>
      <c r="Y37" s="72"/>
      <c r="Z37" s="120"/>
      <c r="AA37" s="72">
        <v>197</v>
      </c>
      <c r="AB37" s="72">
        <v>5</v>
      </c>
      <c r="AC37" s="120"/>
      <c r="AD37" s="72"/>
      <c r="AE37" s="72"/>
      <c r="AF37" s="120"/>
      <c r="AH37" s="57" t="s">
        <v>355</v>
      </c>
      <c r="AI37" s="14">
        <v>1.8</v>
      </c>
      <c r="AJ37" s="14">
        <v>1.5</v>
      </c>
      <c r="AK37" s="14">
        <v>0.7</v>
      </c>
      <c r="AL37" s="14">
        <v>0.9</v>
      </c>
      <c r="AM37" s="14">
        <v>1.3</v>
      </c>
      <c r="AN37" s="14">
        <v>1.7</v>
      </c>
      <c r="AO37" s="14">
        <v>1.1000000000000001</v>
      </c>
      <c r="AP37" s="14">
        <v>1.3</v>
      </c>
      <c r="AQ37" s="58">
        <v>1</v>
      </c>
    </row>
    <row r="38" spans="1:43" x14ac:dyDescent="0.35">
      <c r="A38" s="158"/>
      <c r="B38" s="159" t="s">
        <v>342</v>
      </c>
      <c r="C38" s="4" t="s">
        <v>386</v>
      </c>
      <c r="D38" s="5"/>
      <c r="E38" s="4" t="s">
        <v>19</v>
      </c>
      <c r="F38" s="20">
        <v>276</v>
      </c>
      <c r="G38" s="20">
        <v>3</v>
      </c>
      <c r="H38" s="159">
        <v>3</v>
      </c>
      <c r="I38" s="10">
        <v>268</v>
      </c>
      <c r="J38" s="10">
        <v>1</v>
      </c>
      <c r="K38" s="140">
        <v>1</v>
      </c>
      <c r="L38" s="10">
        <v>301</v>
      </c>
      <c r="M38" s="10">
        <v>5</v>
      </c>
      <c r="N38" s="140">
        <v>4</v>
      </c>
      <c r="O38" s="10">
        <v>275</v>
      </c>
      <c r="P38" s="10">
        <v>3</v>
      </c>
      <c r="Q38" s="140">
        <v>3</v>
      </c>
      <c r="R38" s="10">
        <v>321</v>
      </c>
      <c r="S38" s="10">
        <v>5</v>
      </c>
      <c r="T38" s="140">
        <v>5</v>
      </c>
      <c r="U38" s="10">
        <v>285</v>
      </c>
      <c r="V38" s="10">
        <v>3</v>
      </c>
      <c r="W38" s="140">
        <v>3</v>
      </c>
      <c r="X38" s="72">
        <v>268.5</v>
      </c>
      <c r="Y38" s="72">
        <v>1</v>
      </c>
      <c r="Z38" s="120">
        <v>2</v>
      </c>
      <c r="AA38" s="72">
        <v>293</v>
      </c>
      <c r="AB38" s="72">
        <v>3</v>
      </c>
      <c r="AC38" s="120">
        <v>3</v>
      </c>
      <c r="AD38" s="72">
        <v>275</v>
      </c>
      <c r="AE38" s="72">
        <v>3</v>
      </c>
      <c r="AF38" s="120">
        <v>2</v>
      </c>
      <c r="AH38" s="47" t="s">
        <v>358</v>
      </c>
      <c r="AI38" s="9">
        <v>1</v>
      </c>
      <c r="AJ38" s="9">
        <v>1.9</v>
      </c>
      <c r="AK38" s="9">
        <v>1.3</v>
      </c>
      <c r="AL38" s="9">
        <v>1.4</v>
      </c>
      <c r="AM38" s="9">
        <v>1.4</v>
      </c>
      <c r="AN38" s="9">
        <v>1.3</v>
      </c>
      <c r="AO38" s="9">
        <v>1.4</v>
      </c>
      <c r="AP38" s="9">
        <v>1.5</v>
      </c>
      <c r="AQ38" s="48">
        <v>0.8</v>
      </c>
    </row>
    <row r="39" spans="1:43" ht="17.25" thickBot="1" x14ac:dyDescent="0.4">
      <c r="A39" s="158"/>
      <c r="B39" s="161"/>
      <c r="C39" s="4" t="s">
        <v>387</v>
      </c>
      <c r="D39" s="5"/>
      <c r="E39" s="4" t="s">
        <v>19</v>
      </c>
      <c r="F39" s="20">
        <v>215</v>
      </c>
      <c r="G39" s="20">
        <v>3</v>
      </c>
      <c r="H39" s="161"/>
      <c r="I39" s="10">
        <v>199</v>
      </c>
      <c r="J39" s="10">
        <v>1</v>
      </c>
      <c r="K39" s="141"/>
      <c r="L39" s="10">
        <v>226</v>
      </c>
      <c r="M39" s="10">
        <v>3</v>
      </c>
      <c r="N39" s="141"/>
      <c r="O39" s="10">
        <v>214</v>
      </c>
      <c r="P39" s="10">
        <v>3</v>
      </c>
      <c r="Q39" s="141"/>
      <c r="R39" s="10">
        <v>242</v>
      </c>
      <c r="S39" s="10">
        <v>5</v>
      </c>
      <c r="T39" s="141"/>
      <c r="U39" s="10">
        <v>219</v>
      </c>
      <c r="V39" s="10">
        <v>3</v>
      </c>
      <c r="W39" s="141"/>
      <c r="X39" s="72">
        <v>216.1</v>
      </c>
      <c r="Y39" s="72">
        <v>3</v>
      </c>
      <c r="Z39" s="120"/>
      <c r="AA39" s="72">
        <v>224</v>
      </c>
      <c r="AB39" s="72">
        <v>3</v>
      </c>
      <c r="AC39" s="120"/>
      <c r="AD39" s="72">
        <v>207</v>
      </c>
      <c r="AE39" s="72">
        <v>1</v>
      </c>
      <c r="AF39" s="120"/>
      <c r="AH39" s="52" t="s">
        <v>361</v>
      </c>
      <c r="AI39" s="31">
        <v>2.2999999999999998</v>
      </c>
      <c r="AJ39" s="31">
        <v>3</v>
      </c>
      <c r="AK39" s="31">
        <v>2.5</v>
      </c>
      <c r="AL39" s="31">
        <v>2.2999999999999998</v>
      </c>
      <c r="AM39" s="31">
        <v>2.1</v>
      </c>
      <c r="AN39" s="31">
        <v>2.9</v>
      </c>
      <c r="AO39" s="31">
        <v>2.8</v>
      </c>
      <c r="AP39" s="31">
        <v>2.5</v>
      </c>
      <c r="AQ39" s="53">
        <v>1.4</v>
      </c>
    </row>
    <row r="40" spans="1:43" ht="33" x14ac:dyDescent="0.35">
      <c r="A40" s="158"/>
      <c r="B40" s="159" t="s">
        <v>345</v>
      </c>
      <c r="C40" s="4" t="s">
        <v>475</v>
      </c>
      <c r="D40" s="5"/>
      <c r="E40" s="4" t="s">
        <v>0</v>
      </c>
      <c r="F40" s="21">
        <v>18028</v>
      </c>
      <c r="G40" s="21">
        <v>1</v>
      </c>
      <c r="H40" s="183">
        <v>1</v>
      </c>
      <c r="I40" s="7">
        <v>21400</v>
      </c>
      <c r="J40" s="7">
        <v>5</v>
      </c>
      <c r="K40" s="140">
        <v>5</v>
      </c>
      <c r="L40" s="7">
        <v>20280</v>
      </c>
      <c r="M40" s="7">
        <v>5</v>
      </c>
      <c r="N40" s="140">
        <v>4</v>
      </c>
      <c r="O40" s="7">
        <v>19390</v>
      </c>
      <c r="P40" s="7">
        <v>3</v>
      </c>
      <c r="Q40" s="140">
        <v>3</v>
      </c>
      <c r="R40" s="7">
        <v>21110</v>
      </c>
      <c r="S40" s="7">
        <v>5</v>
      </c>
      <c r="T40" s="140">
        <v>5</v>
      </c>
      <c r="U40" s="7">
        <v>18420</v>
      </c>
      <c r="V40" s="7">
        <v>1</v>
      </c>
      <c r="W40" s="140">
        <v>1</v>
      </c>
      <c r="X40" s="72">
        <v>17660</v>
      </c>
      <c r="Y40" s="72">
        <v>1</v>
      </c>
      <c r="Z40" s="120">
        <v>3</v>
      </c>
      <c r="AA40" s="72">
        <v>19990</v>
      </c>
      <c r="AB40" s="72">
        <v>3</v>
      </c>
      <c r="AC40" s="120">
        <v>3</v>
      </c>
      <c r="AD40" s="72">
        <v>19201</v>
      </c>
      <c r="AE40" s="72">
        <v>3</v>
      </c>
      <c r="AF40" s="120">
        <v>4</v>
      </c>
      <c r="AH40" s="60" t="s">
        <v>382</v>
      </c>
      <c r="AI40" s="60">
        <v>1.32</v>
      </c>
      <c r="AJ40" s="60">
        <v>1.72</v>
      </c>
      <c r="AK40" s="60">
        <v>1.42</v>
      </c>
      <c r="AL40" s="60">
        <v>1.1399999999999999</v>
      </c>
      <c r="AM40" s="60">
        <v>1.38</v>
      </c>
      <c r="AN40" s="60">
        <v>1.56</v>
      </c>
      <c r="AO40" s="60">
        <v>1.48</v>
      </c>
      <c r="AP40" s="60">
        <v>1.42</v>
      </c>
      <c r="AQ40" s="60">
        <v>0.86</v>
      </c>
    </row>
    <row r="41" spans="1:43" ht="33" x14ac:dyDescent="0.35">
      <c r="A41" s="158"/>
      <c r="B41" s="161"/>
      <c r="C41" s="4" t="s">
        <v>476</v>
      </c>
      <c r="D41" s="5"/>
      <c r="E41" s="4" t="s">
        <v>0</v>
      </c>
      <c r="F41" s="20">
        <v>11958</v>
      </c>
      <c r="G41" s="20">
        <v>1</v>
      </c>
      <c r="H41" s="184"/>
      <c r="I41" s="12">
        <v>14600</v>
      </c>
      <c r="J41" s="12">
        <v>5</v>
      </c>
      <c r="K41" s="141"/>
      <c r="L41" s="12">
        <v>13430</v>
      </c>
      <c r="M41" s="12">
        <v>3</v>
      </c>
      <c r="N41" s="141"/>
      <c r="O41" s="7">
        <v>13410</v>
      </c>
      <c r="P41" s="7">
        <v>3</v>
      </c>
      <c r="Q41" s="141"/>
      <c r="R41" s="7">
        <v>14510</v>
      </c>
      <c r="S41" s="7">
        <v>5</v>
      </c>
      <c r="T41" s="141"/>
      <c r="U41" s="7">
        <v>13060</v>
      </c>
      <c r="V41" s="7">
        <v>1</v>
      </c>
      <c r="W41" s="141"/>
      <c r="X41" s="72">
        <v>15570</v>
      </c>
      <c r="Y41" s="72">
        <v>5</v>
      </c>
      <c r="Z41" s="120"/>
      <c r="AA41" s="72">
        <v>13770</v>
      </c>
      <c r="AB41" s="72">
        <v>3</v>
      </c>
      <c r="AC41" s="120"/>
      <c r="AD41" s="72">
        <v>15015</v>
      </c>
      <c r="AE41" s="72">
        <v>5</v>
      </c>
      <c r="AF41" s="120"/>
    </row>
    <row r="42" spans="1:43" ht="13.9" customHeight="1" x14ac:dyDescent="0.35">
      <c r="A42" s="180" t="s">
        <v>27</v>
      </c>
      <c r="B42" s="157" t="s">
        <v>350</v>
      </c>
      <c r="C42" s="4" t="s">
        <v>389</v>
      </c>
      <c r="D42" s="10"/>
      <c r="E42" s="7" t="s">
        <v>2</v>
      </c>
      <c r="F42" s="10" t="s">
        <v>390</v>
      </c>
      <c r="G42" s="10">
        <v>3</v>
      </c>
      <c r="H42" s="140">
        <v>1.1000000000000001</v>
      </c>
      <c r="I42" s="10"/>
      <c r="J42" s="10">
        <v>0</v>
      </c>
      <c r="K42" s="140">
        <v>1.4</v>
      </c>
      <c r="L42" s="10" t="s">
        <v>390</v>
      </c>
      <c r="M42" s="10">
        <v>3</v>
      </c>
      <c r="N42" s="140">
        <v>2</v>
      </c>
      <c r="O42" s="10" t="s">
        <v>390</v>
      </c>
      <c r="P42" s="10">
        <v>3</v>
      </c>
      <c r="Q42" s="140">
        <v>0.8</v>
      </c>
      <c r="R42" s="10" t="s">
        <v>390</v>
      </c>
      <c r="S42" s="10">
        <v>3</v>
      </c>
      <c r="T42" s="140">
        <v>1.5</v>
      </c>
      <c r="U42" s="7" t="s">
        <v>390</v>
      </c>
      <c r="V42" s="7">
        <v>3</v>
      </c>
      <c r="W42" s="140">
        <v>1.3</v>
      </c>
      <c r="X42" s="72" t="s">
        <v>390</v>
      </c>
      <c r="Y42" s="72">
        <v>3</v>
      </c>
      <c r="Z42" s="120">
        <v>1.3</v>
      </c>
      <c r="AA42" s="10" t="s">
        <v>390</v>
      </c>
      <c r="AB42" s="72">
        <v>3</v>
      </c>
      <c r="AC42" s="120">
        <v>1.4</v>
      </c>
      <c r="AD42" s="72" t="s">
        <v>390</v>
      </c>
      <c r="AE42" s="72">
        <v>3</v>
      </c>
      <c r="AF42" s="120">
        <v>0.4</v>
      </c>
    </row>
    <row r="43" spans="1:43" ht="13.9" customHeight="1" x14ac:dyDescent="0.35">
      <c r="A43" s="181"/>
      <c r="B43" s="157"/>
      <c r="C43" s="4" t="s">
        <v>392</v>
      </c>
      <c r="D43" s="10"/>
      <c r="E43" s="7" t="s">
        <v>2</v>
      </c>
      <c r="F43" s="7"/>
      <c r="G43" s="7">
        <v>0</v>
      </c>
      <c r="H43" s="139"/>
      <c r="I43" s="7"/>
      <c r="J43" s="7">
        <v>0</v>
      </c>
      <c r="K43" s="139"/>
      <c r="L43" s="10" t="s">
        <v>390</v>
      </c>
      <c r="M43" s="10">
        <v>3</v>
      </c>
      <c r="N43" s="139"/>
      <c r="O43" s="10" t="s">
        <v>390</v>
      </c>
      <c r="P43" s="10">
        <v>3</v>
      </c>
      <c r="Q43" s="139"/>
      <c r="R43" s="10" t="s">
        <v>390</v>
      </c>
      <c r="S43" s="10">
        <v>3</v>
      </c>
      <c r="T43" s="139"/>
      <c r="U43" s="10" t="s">
        <v>391</v>
      </c>
      <c r="V43" s="10">
        <v>1</v>
      </c>
      <c r="W43" s="139"/>
      <c r="X43" s="72" t="s">
        <v>390</v>
      </c>
      <c r="Y43" s="72">
        <v>3</v>
      </c>
      <c r="Z43" s="120"/>
      <c r="AA43" s="10" t="s">
        <v>390</v>
      </c>
      <c r="AB43" s="72">
        <v>3</v>
      </c>
      <c r="AC43" s="120"/>
      <c r="AD43" s="72"/>
      <c r="AE43" s="72">
        <v>0</v>
      </c>
      <c r="AF43" s="120"/>
    </row>
    <row r="44" spans="1:43" ht="13.9" customHeight="1" x14ac:dyDescent="0.35">
      <c r="A44" s="181"/>
      <c r="B44" s="157"/>
      <c r="C44" s="4" t="s">
        <v>125</v>
      </c>
      <c r="D44" s="10"/>
      <c r="E44" s="7" t="s">
        <v>2</v>
      </c>
      <c r="F44" s="7"/>
      <c r="G44" s="7">
        <v>0</v>
      </c>
      <c r="H44" s="139"/>
      <c r="I44" s="7"/>
      <c r="J44" s="7">
        <v>0</v>
      </c>
      <c r="K44" s="139"/>
      <c r="L44" s="10"/>
      <c r="M44" s="10">
        <v>0</v>
      </c>
      <c r="N44" s="139"/>
      <c r="O44" s="7"/>
      <c r="P44" s="7">
        <v>0</v>
      </c>
      <c r="Q44" s="139"/>
      <c r="R44" s="7"/>
      <c r="S44" s="7">
        <v>0</v>
      </c>
      <c r="T44" s="139"/>
      <c r="U44" s="7" t="s">
        <v>391</v>
      </c>
      <c r="V44" s="7">
        <v>1</v>
      </c>
      <c r="W44" s="139"/>
      <c r="X44" s="72"/>
      <c r="Y44" s="72">
        <v>0</v>
      </c>
      <c r="Z44" s="120"/>
      <c r="AA44" s="72"/>
      <c r="AB44" s="72">
        <v>0</v>
      </c>
      <c r="AC44" s="120"/>
      <c r="AD44" s="72"/>
      <c r="AE44" s="72">
        <v>0</v>
      </c>
      <c r="AF44" s="120"/>
    </row>
    <row r="45" spans="1:43" ht="13.9" customHeight="1" x14ac:dyDescent="0.35">
      <c r="A45" s="181"/>
      <c r="B45" s="157"/>
      <c r="C45" s="4" t="s">
        <v>113</v>
      </c>
      <c r="D45" s="10"/>
      <c r="E45" s="7" t="s">
        <v>2</v>
      </c>
      <c r="F45" s="7" t="s">
        <v>390</v>
      </c>
      <c r="G45" s="7">
        <v>3</v>
      </c>
      <c r="H45" s="139"/>
      <c r="I45" s="7"/>
      <c r="J45" s="7">
        <v>0</v>
      </c>
      <c r="K45" s="139"/>
      <c r="L45" s="7"/>
      <c r="M45" s="7">
        <v>0</v>
      </c>
      <c r="N45" s="139"/>
      <c r="O45" s="7"/>
      <c r="P45" s="7">
        <v>0</v>
      </c>
      <c r="Q45" s="139"/>
      <c r="R45" s="7"/>
      <c r="S45" s="7">
        <v>0</v>
      </c>
      <c r="T45" s="139"/>
      <c r="U45" s="7" t="s">
        <v>391</v>
      </c>
      <c r="V45" s="7">
        <v>1</v>
      </c>
      <c r="W45" s="139"/>
      <c r="X45" s="72" t="s">
        <v>391</v>
      </c>
      <c r="Y45" s="72">
        <v>1</v>
      </c>
      <c r="Z45" s="120"/>
      <c r="AA45" s="72" t="s">
        <v>391</v>
      </c>
      <c r="AB45" s="72">
        <v>1</v>
      </c>
      <c r="AC45" s="120"/>
      <c r="AD45" s="72"/>
      <c r="AE45" s="72">
        <v>0</v>
      </c>
      <c r="AF45" s="120"/>
    </row>
    <row r="46" spans="1:43" ht="49.5" x14ac:dyDescent="0.35">
      <c r="A46" s="181"/>
      <c r="B46" s="157"/>
      <c r="C46" s="4" t="s">
        <v>40</v>
      </c>
      <c r="D46" s="10"/>
      <c r="E46" s="7" t="s">
        <v>2</v>
      </c>
      <c r="F46" s="7"/>
      <c r="G46" s="7">
        <v>0</v>
      </c>
      <c r="H46" s="139"/>
      <c r="I46" s="22" t="s">
        <v>494</v>
      </c>
      <c r="J46" s="59">
        <v>5</v>
      </c>
      <c r="K46" s="139"/>
      <c r="L46" s="12" t="s">
        <v>441</v>
      </c>
      <c r="M46" s="12">
        <v>1</v>
      </c>
      <c r="N46" s="139"/>
      <c r="O46" s="7"/>
      <c r="P46" s="7">
        <v>0</v>
      </c>
      <c r="Q46" s="139"/>
      <c r="R46" s="7"/>
      <c r="S46" s="7">
        <v>0</v>
      </c>
      <c r="T46" s="139"/>
      <c r="U46" s="7"/>
      <c r="V46" s="7">
        <v>0</v>
      </c>
      <c r="W46" s="139"/>
      <c r="X46" s="72"/>
      <c r="Y46" s="72">
        <v>0</v>
      </c>
      <c r="Z46" s="120"/>
      <c r="AA46" s="72" t="s">
        <v>441</v>
      </c>
      <c r="AB46" s="72">
        <v>1</v>
      </c>
      <c r="AC46" s="120"/>
      <c r="AD46" s="72"/>
      <c r="AE46" s="72">
        <v>0</v>
      </c>
      <c r="AF46" s="120"/>
    </row>
    <row r="47" spans="1:43" ht="13.9" customHeight="1" x14ac:dyDescent="0.35">
      <c r="A47" s="181"/>
      <c r="B47" s="157"/>
      <c r="C47" s="4" t="s">
        <v>145</v>
      </c>
      <c r="D47" s="10"/>
      <c r="E47" s="7" t="s">
        <v>2</v>
      </c>
      <c r="F47" s="7"/>
      <c r="G47" s="7">
        <v>0</v>
      </c>
      <c r="H47" s="139"/>
      <c r="I47" s="7"/>
      <c r="J47" s="7">
        <v>0</v>
      </c>
      <c r="K47" s="139"/>
      <c r="L47" s="7" t="s">
        <v>390</v>
      </c>
      <c r="M47" s="7">
        <v>3</v>
      </c>
      <c r="N47" s="139"/>
      <c r="O47" s="7"/>
      <c r="P47" s="7">
        <v>0</v>
      </c>
      <c r="Q47" s="139"/>
      <c r="R47" s="7"/>
      <c r="S47" s="7">
        <v>0</v>
      </c>
      <c r="T47" s="139"/>
      <c r="U47" s="7" t="s">
        <v>390</v>
      </c>
      <c r="V47" s="7">
        <v>3</v>
      </c>
      <c r="W47" s="139"/>
      <c r="X47" s="72"/>
      <c r="Y47" s="72">
        <v>0</v>
      </c>
      <c r="Z47" s="120"/>
      <c r="AA47" s="72"/>
      <c r="AB47" s="72">
        <v>0</v>
      </c>
      <c r="AC47" s="120"/>
      <c r="AD47" s="72"/>
      <c r="AE47" s="72">
        <v>0</v>
      </c>
      <c r="AF47" s="120"/>
    </row>
    <row r="48" spans="1:43" ht="13.9" customHeight="1" x14ac:dyDescent="0.35">
      <c r="A48" s="181"/>
      <c r="B48" s="157"/>
      <c r="C48" s="4" t="s">
        <v>146</v>
      </c>
      <c r="D48" s="10"/>
      <c r="E48" s="7" t="s">
        <v>2</v>
      </c>
      <c r="F48" s="7"/>
      <c r="G48" s="7">
        <v>0</v>
      </c>
      <c r="H48" s="139"/>
      <c r="I48" s="10" t="s">
        <v>390</v>
      </c>
      <c r="J48" s="10">
        <v>3</v>
      </c>
      <c r="K48" s="139"/>
      <c r="L48" s="7" t="s">
        <v>390</v>
      </c>
      <c r="M48" s="7">
        <v>3</v>
      </c>
      <c r="N48" s="139"/>
      <c r="O48" s="7"/>
      <c r="P48" s="7">
        <v>0</v>
      </c>
      <c r="Q48" s="139"/>
      <c r="R48" s="7" t="s">
        <v>390</v>
      </c>
      <c r="S48" s="7">
        <v>3</v>
      </c>
      <c r="T48" s="139"/>
      <c r="U48" s="7" t="s">
        <v>391</v>
      </c>
      <c r="V48" s="7">
        <v>1</v>
      </c>
      <c r="W48" s="139"/>
      <c r="X48" s="72"/>
      <c r="Y48" s="72">
        <v>0</v>
      </c>
      <c r="Z48" s="120"/>
      <c r="AA48" s="72"/>
      <c r="AB48" s="72">
        <v>0</v>
      </c>
      <c r="AC48" s="120"/>
      <c r="AD48" s="72"/>
      <c r="AE48" s="72">
        <v>0</v>
      </c>
      <c r="AF48" s="120"/>
    </row>
    <row r="49" spans="1:32" ht="13.9" customHeight="1" x14ac:dyDescent="0.35">
      <c r="A49" s="181"/>
      <c r="B49" s="157"/>
      <c r="C49" s="10" t="s">
        <v>126</v>
      </c>
      <c r="D49" s="10"/>
      <c r="E49" s="7" t="s">
        <v>2</v>
      </c>
      <c r="F49" s="7" t="s">
        <v>390</v>
      </c>
      <c r="G49" s="7">
        <v>3</v>
      </c>
      <c r="H49" s="141"/>
      <c r="I49" s="7" t="s">
        <v>127</v>
      </c>
      <c r="J49" s="7">
        <v>3</v>
      </c>
      <c r="K49" s="141"/>
      <c r="L49" s="10" t="s">
        <v>265</v>
      </c>
      <c r="M49" s="10">
        <v>3</v>
      </c>
      <c r="N49" s="141"/>
      <c r="O49" s="7"/>
      <c r="P49" s="7">
        <v>0</v>
      </c>
      <c r="Q49" s="141"/>
      <c r="R49" s="7" t="s">
        <v>128</v>
      </c>
      <c r="S49" s="7">
        <v>3</v>
      </c>
      <c r="T49" s="141"/>
      <c r="U49" s="7"/>
      <c r="V49" s="7">
        <v>0</v>
      </c>
      <c r="W49" s="141"/>
      <c r="X49" s="72" t="s">
        <v>495</v>
      </c>
      <c r="Y49" s="72">
        <v>3</v>
      </c>
      <c r="Z49" s="120"/>
      <c r="AA49" s="9" t="s">
        <v>147</v>
      </c>
      <c r="AB49" s="72">
        <v>3</v>
      </c>
      <c r="AC49" s="120"/>
      <c r="AD49" s="72"/>
      <c r="AE49" s="72">
        <v>0</v>
      </c>
      <c r="AF49" s="120"/>
    </row>
    <row r="50" spans="1:32" ht="13.9" customHeight="1" x14ac:dyDescent="0.35">
      <c r="A50" s="181"/>
      <c r="B50" s="157" t="s">
        <v>333</v>
      </c>
      <c r="C50" s="4" t="s">
        <v>129</v>
      </c>
      <c r="D50" s="10"/>
      <c r="E50" s="7" t="s">
        <v>2</v>
      </c>
      <c r="F50" s="7"/>
      <c r="G50" s="7">
        <v>0</v>
      </c>
      <c r="H50" s="140">
        <v>0.4</v>
      </c>
      <c r="I50" s="10" t="s">
        <v>390</v>
      </c>
      <c r="J50" s="10">
        <v>3</v>
      </c>
      <c r="K50" s="140">
        <v>0.8</v>
      </c>
      <c r="L50" s="7" t="s">
        <v>390</v>
      </c>
      <c r="M50" s="7">
        <v>3</v>
      </c>
      <c r="N50" s="140">
        <v>0.6</v>
      </c>
      <c r="O50" s="7"/>
      <c r="P50" s="7">
        <v>0</v>
      </c>
      <c r="Q50" s="140">
        <v>0.3</v>
      </c>
      <c r="R50" s="7" t="s">
        <v>390</v>
      </c>
      <c r="S50" s="7">
        <v>3</v>
      </c>
      <c r="T50" s="140">
        <v>0.6</v>
      </c>
      <c r="U50" s="7"/>
      <c r="V50" s="7">
        <v>0</v>
      </c>
      <c r="W50" s="140">
        <v>0.6</v>
      </c>
      <c r="X50" s="72"/>
      <c r="Y50" s="72">
        <v>0</v>
      </c>
      <c r="Z50" s="120">
        <v>0.8</v>
      </c>
      <c r="AA50" s="72"/>
      <c r="AB50" s="72">
        <v>0</v>
      </c>
      <c r="AC50" s="120">
        <v>0.4</v>
      </c>
      <c r="AD50" s="72"/>
      <c r="AE50" s="72">
        <v>0</v>
      </c>
      <c r="AF50" s="120">
        <v>0.7</v>
      </c>
    </row>
    <row r="51" spans="1:32" ht="13.9" customHeight="1" x14ac:dyDescent="0.35">
      <c r="A51" s="181"/>
      <c r="B51" s="157"/>
      <c r="C51" s="4" t="s">
        <v>130</v>
      </c>
      <c r="D51" s="10"/>
      <c r="E51" s="7" t="s">
        <v>2</v>
      </c>
      <c r="F51" s="7"/>
      <c r="G51" s="7">
        <v>0</v>
      </c>
      <c r="H51" s="139"/>
      <c r="I51" s="10" t="s">
        <v>390</v>
      </c>
      <c r="J51" s="10">
        <v>3</v>
      </c>
      <c r="K51" s="139"/>
      <c r="L51" s="7"/>
      <c r="M51" s="7">
        <v>0</v>
      </c>
      <c r="N51" s="139"/>
      <c r="O51" s="7"/>
      <c r="P51" s="7">
        <v>0</v>
      </c>
      <c r="Q51" s="139"/>
      <c r="R51" s="7"/>
      <c r="S51" s="7">
        <v>0</v>
      </c>
      <c r="T51" s="139"/>
      <c r="U51" s="7"/>
      <c r="V51" s="7">
        <v>0</v>
      </c>
      <c r="W51" s="139"/>
      <c r="X51" s="72"/>
      <c r="Y51" s="72">
        <v>0</v>
      </c>
      <c r="Z51" s="120"/>
      <c r="AA51" s="72"/>
      <c r="AB51" s="72">
        <v>0</v>
      </c>
      <c r="AC51" s="120"/>
      <c r="AD51" s="72"/>
      <c r="AE51" s="72">
        <v>0</v>
      </c>
      <c r="AF51" s="120"/>
    </row>
    <row r="52" spans="1:32" ht="13.9" customHeight="1" x14ac:dyDescent="0.35">
      <c r="A52" s="181"/>
      <c r="B52" s="157"/>
      <c r="C52" s="4" t="s">
        <v>131</v>
      </c>
      <c r="D52" s="10"/>
      <c r="E52" s="7" t="s">
        <v>2</v>
      </c>
      <c r="F52" s="7"/>
      <c r="G52" s="7">
        <v>0</v>
      </c>
      <c r="H52" s="139"/>
      <c r="I52" s="7"/>
      <c r="J52" s="7">
        <v>0</v>
      </c>
      <c r="K52" s="139"/>
      <c r="L52" s="10"/>
      <c r="M52" s="10">
        <v>0</v>
      </c>
      <c r="N52" s="139"/>
      <c r="O52" s="10"/>
      <c r="P52" s="10">
        <v>0</v>
      </c>
      <c r="Q52" s="139"/>
      <c r="R52" s="7"/>
      <c r="S52" s="7">
        <v>0</v>
      </c>
      <c r="T52" s="139"/>
      <c r="U52" s="7"/>
      <c r="V52" s="7">
        <v>0</v>
      </c>
      <c r="W52" s="139"/>
      <c r="X52" s="72"/>
      <c r="Y52" s="72">
        <v>0</v>
      </c>
      <c r="Z52" s="120"/>
      <c r="AA52" s="72"/>
      <c r="AB52" s="72">
        <v>0</v>
      </c>
      <c r="AC52" s="120"/>
      <c r="AD52" s="72"/>
      <c r="AE52" s="72">
        <v>0</v>
      </c>
      <c r="AF52" s="120"/>
    </row>
    <row r="53" spans="1:32" ht="13.9" customHeight="1" x14ac:dyDescent="0.35">
      <c r="A53" s="181"/>
      <c r="B53" s="157"/>
      <c r="C53" s="4" t="s">
        <v>393</v>
      </c>
      <c r="D53" s="10"/>
      <c r="E53" s="7" t="s">
        <v>2</v>
      </c>
      <c r="F53" s="7"/>
      <c r="G53" s="7">
        <v>0</v>
      </c>
      <c r="H53" s="139"/>
      <c r="I53" s="10"/>
      <c r="J53" s="10">
        <v>0</v>
      </c>
      <c r="K53" s="139"/>
      <c r="L53" s="7"/>
      <c r="M53" s="7">
        <v>0</v>
      </c>
      <c r="N53" s="139"/>
      <c r="O53" s="7"/>
      <c r="P53" s="7">
        <v>0</v>
      </c>
      <c r="Q53" s="139"/>
      <c r="R53" s="7"/>
      <c r="S53" s="7">
        <v>0</v>
      </c>
      <c r="T53" s="139"/>
      <c r="U53" s="7"/>
      <c r="V53" s="7">
        <v>0</v>
      </c>
      <c r="W53" s="139"/>
      <c r="X53" s="72"/>
      <c r="Y53" s="72">
        <v>0</v>
      </c>
      <c r="Z53" s="120"/>
      <c r="AA53" s="72"/>
      <c r="AB53" s="72">
        <v>0</v>
      </c>
      <c r="AC53" s="120"/>
      <c r="AD53" s="72"/>
      <c r="AE53" s="72">
        <v>0</v>
      </c>
      <c r="AF53" s="120"/>
    </row>
    <row r="54" spans="1:32" ht="13.9" customHeight="1" x14ac:dyDescent="0.35">
      <c r="A54" s="181"/>
      <c r="B54" s="157"/>
      <c r="C54" s="4" t="s">
        <v>132</v>
      </c>
      <c r="D54" s="10"/>
      <c r="E54" s="7" t="s">
        <v>2</v>
      </c>
      <c r="F54" s="7"/>
      <c r="G54" s="7">
        <v>0</v>
      </c>
      <c r="H54" s="139"/>
      <c r="I54" s="7"/>
      <c r="J54" s="7">
        <v>0</v>
      </c>
      <c r="K54" s="139"/>
      <c r="L54" s="10"/>
      <c r="M54" s="10">
        <v>0</v>
      </c>
      <c r="N54" s="139"/>
      <c r="O54" s="13" t="s">
        <v>391</v>
      </c>
      <c r="P54" s="13">
        <v>1</v>
      </c>
      <c r="Q54" s="139"/>
      <c r="R54" s="10" t="s">
        <v>390</v>
      </c>
      <c r="S54" s="10">
        <v>3</v>
      </c>
      <c r="T54" s="139"/>
      <c r="U54" s="10" t="s">
        <v>391</v>
      </c>
      <c r="V54" s="10">
        <v>1</v>
      </c>
      <c r="W54" s="139"/>
      <c r="X54" s="72" t="s">
        <v>391</v>
      </c>
      <c r="Y54" s="72">
        <v>1</v>
      </c>
      <c r="Z54" s="120"/>
      <c r="AA54" s="72" t="s">
        <v>391</v>
      </c>
      <c r="AB54" s="72">
        <v>1</v>
      </c>
      <c r="AC54" s="120"/>
      <c r="AD54" s="72"/>
      <c r="AE54" s="72">
        <v>0</v>
      </c>
      <c r="AF54" s="120"/>
    </row>
    <row r="55" spans="1:32" x14ac:dyDescent="0.35">
      <c r="A55" s="181"/>
      <c r="B55" s="157"/>
      <c r="C55" s="16" t="s">
        <v>148</v>
      </c>
      <c r="D55" s="10"/>
      <c r="E55" s="7" t="s">
        <v>2</v>
      </c>
      <c r="F55" s="7"/>
      <c r="G55" s="7">
        <v>0</v>
      </c>
      <c r="H55" s="139"/>
      <c r="I55" s="7"/>
      <c r="J55" s="7">
        <v>0</v>
      </c>
      <c r="K55" s="139"/>
      <c r="L55" s="7"/>
      <c r="M55" s="7">
        <v>0</v>
      </c>
      <c r="N55" s="139"/>
      <c r="O55" s="7"/>
      <c r="P55" s="7">
        <v>0</v>
      </c>
      <c r="Q55" s="139"/>
      <c r="R55" s="7"/>
      <c r="S55" s="7">
        <v>0</v>
      </c>
      <c r="T55" s="139"/>
      <c r="U55" s="15"/>
      <c r="V55" s="15">
        <v>0</v>
      </c>
      <c r="W55" s="139"/>
      <c r="X55" s="72"/>
      <c r="Y55" s="72">
        <v>0</v>
      </c>
      <c r="Z55" s="120"/>
      <c r="AA55" s="72"/>
      <c r="AB55" s="72">
        <v>0</v>
      </c>
      <c r="AC55" s="120"/>
      <c r="AD55" s="72"/>
      <c r="AE55" s="72">
        <v>0</v>
      </c>
      <c r="AF55" s="120"/>
    </row>
    <row r="56" spans="1:32" ht="13.9" customHeight="1" x14ac:dyDescent="0.35">
      <c r="A56" s="181"/>
      <c r="B56" s="157"/>
      <c r="C56" s="4" t="s">
        <v>394</v>
      </c>
      <c r="D56" s="10"/>
      <c r="E56" s="7" t="s">
        <v>2</v>
      </c>
      <c r="F56" s="10" t="s">
        <v>391</v>
      </c>
      <c r="G56" s="10">
        <v>1</v>
      </c>
      <c r="H56" s="139"/>
      <c r="I56" s="10" t="s">
        <v>391</v>
      </c>
      <c r="J56" s="10">
        <v>1</v>
      </c>
      <c r="K56" s="139"/>
      <c r="L56" s="7"/>
      <c r="M56" s="7">
        <v>0</v>
      </c>
      <c r="N56" s="139"/>
      <c r="O56" s="7"/>
      <c r="P56" s="7">
        <v>0</v>
      </c>
      <c r="Q56" s="139"/>
      <c r="R56" s="7" t="s">
        <v>391</v>
      </c>
      <c r="S56" s="7">
        <v>1</v>
      </c>
      <c r="T56" s="139"/>
      <c r="U56" s="10" t="s">
        <v>390</v>
      </c>
      <c r="V56" s="10">
        <v>3</v>
      </c>
      <c r="W56" s="139"/>
      <c r="X56" s="72" t="s">
        <v>391</v>
      </c>
      <c r="Y56" s="72">
        <v>1</v>
      </c>
      <c r="Z56" s="120"/>
      <c r="AA56" s="72" t="s">
        <v>391</v>
      </c>
      <c r="AB56" s="72">
        <v>1</v>
      </c>
      <c r="AC56" s="120"/>
      <c r="AD56" s="72"/>
      <c r="AE56" s="72">
        <v>0</v>
      </c>
      <c r="AF56" s="120"/>
    </row>
    <row r="57" spans="1:32" ht="13.9" customHeight="1" x14ac:dyDescent="0.35">
      <c r="A57" s="181"/>
      <c r="B57" s="157"/>
      <c r="C57" s="4" t="s">
        <v>133</v>
      </c>
      <c r="D57" s="10"/>
      <c r="E57" s="7" t="s">
        <v>2</v>
      </c>
      <c r="F57" s="7"/>
      <c r="G57" s="7">
        <v>0</v>
      </c>
      <c r="H57" s="139"/>
      <c r="I57" s="7"/>
      <c r="J57" s="7">
        <v>0</v>
      </c>
      <c r="K57" s="139"/>
      <c r="L57" s="10" t="s">
        <v>390</v>
      </c>
      <c r="M57" s="10">
        <v>3</v>
      </c>
      <c r="N57" s="139"/>
      <c r="O57" s="7"/>
      <c r="P57" s="7">
        <v>0</v>
      </c>
      <c r="Q57" s="139"/>
      <c r="R57" s="7"/>
      <c r="S57" s="7">
        <v>0</v>
      </c>
      <c r="T57" s="139"/>
      <c r="U57" s="7"/>
      <c r="V57" s="7">
        <v>0</v>
      </c>
      <c r="W57" s="139"/>
      <c r="X57" s="72"/>
      <c r="Y57" s="72">
        <v>0</v>
      </c>
      <c r="Z57" s="120"/>
      <c r="AA57" s="72"/>
      <c r="AB57" s="72">
        <v>0</v>
      </c>
      <c r="AC57" s="120"/>
      <c r="AD57" s="72"/>
      <c r="AE57" s="72">
        <v>0</v>
      </c>
      <c r="AF57" s="120"/>
    </row>
    <row r="58" spans="1:32" ht="13.9" customHeight="1" x14ac:dyDescent="0.35">
      <c r="A58" s="181"/>
      <c r="B58" s="157"/>
      <c r="C58" s="16" t="s">
        <v>134</v>
      </c>
      <c r="D58" s="10"/>
      <c r="E58" s="7" t="s">
        <v>2</v>
      </c>
      <c r="F58" s="7"/>
      <c r="G58" s="7">
        <v>0</v>
      </c>
      <c r="H58" s="139"/>
      <c r="I58" s="7"/>
      <c r="J58" s="7">
        <v>1</v>
      </c>
      <c r="K58" s="139"/>
      <c r="L58" s="7"/>
      <c r="M58" s="7">
        <v>0</v>
      </c>
      <c r="N58" s="139"/>
      <c r="O58" s="7"/>
      <c r="P58" s="7">
        <v>0</v>
      </c>
      <c r="Q58" s="139"/>
      <c r="R58" s="7"/>
      <c r="S58" s="7">
        <v>0</v>
      </c>
      <c r="T58" s="139"/>
      <c r="U58" s="11" t="s">
        <v>391</v>
      </c>
      <c r="V58" s="7">
        <v>1</v>
      </c>
      <c r="W58" s="139"/>
      <c r="X58" s="72" t="s">
        <v>391</v>
      </c>
      <c r="Y58" s="72">
        <v>1</v>
      </c>
      <c r="Z58" s="120"/>
      <c r="AA58" s="72" t="s">
        <v>391</v>
      </c>
      <c r="AB58" s="72">
        <v>1</v>
      </c>
      <c r="AC58" s="120"/>
      <c r="AD58" s="72"/>
      <c r="AE58" s="72">
        <v>0</v>
      </c>
      <c r="AF58" s="120"/>
    </row>
    <row r="59" spans="1:32" x14ac:dyDescent="0.35">
      <c r="A59" s="181"/>
      <c r="B59" s="157"/>
      <c r="C59" s="16" t="s">
        <v>135</v>
      </c>
      <c r="D59" s="10"/>
      <c r="E59" s="7" t="s">
        <v>2</v>
      </c>
      <c r="F59" s="7"/>
      <c r="G59" s="7">
        <v>0</v>
      </c>
      <c r="H59" s="139"/>
      <c r="I59" s="7"/>
      <c r="J59" s="7">
        <v>0</v>
      </c>
      <c r="K59" s="139"/>
      <c r="L59" s="7"/>
      <c r="M59" s="7">
        <v>0</v>
      </c>
      <c r="N59" s="139"/>
      <c r="O59" s="7"/>
      <c r="P59" s="7">
        <v>0</v>
      </c>
      <c r="Q59" s="139"/>
      <c r="R59" s="7"/>
      <c r="S59" s="7">
        <v>0</v>
      </c>
      <c r="T59" s="139"/>
      <c r="U59" s="54" t="s">
        <v>390</v>
      </c>
      <c r="V59" s="12">
        <v>5</v>
      </c>
      <c r="W59" s="139"/>
      <c r="X59" s="72"/>
      <c r="Y59" s="72">
        <v>0</v>
      </c>
      <c r="Z59" s="120"/>
      <c r="AA59" s="72"/>
      <c r="AB59" s="72">
        <v>0</v>
      </c>
      <c r="AC59" s="120"/>
      <c r="AD59" s="72"/>
      <c r="AE59" s="72">
        <v>0</v>
      </c>
      <c r="AF59" s="120"/>
    </row>
    <row r="60" spans="1:32" ht="13.9" customHeight="1" x14ac:dyDescent="0.35">
      <c r="A60" s="181"/>
      <c r="B60" s="157"/>
      <c r="C60" s="4" t="s">
        <v>471</v>
      </c>
      <c r="D60" s="10"/>
      <c r="E60" s="7" t="s">
        <v>2</v>
      </c>
      <c r="F60" s="7"/>
      <c r="G60" s="7">
        <v>0</v>
      </c>
      <c r="H60" s="139"/>
      <c r="I60" s="10" t="s">
        <v>391</v>
      </c>
      <c r="J60" s="10">
        <v>0</v>
      </c>
      <c r="K60" s="139"/>
      <c r="L60" s="7"/>
      <c r="M60" s="7">
        <v>0</v>
      </c>
      <c r="N60" s="139"/>
      <c r="O60" s="7"/>
      <c r="P60" s="7">
        <v>0</v>
      </c>
      <c r="Q60" s="139"/>
      <c r="R60" s="7"/>
      <c r="S60" s="7">
        <v>0</v>
      </c>
      <c r="T60" s="139"/>
      <c r="U60" s="7"/>
      <c r="V60" s="7">
        <v>0</v>
      </c>
      <c r="W60" s="139"/>
      <c r="X60" s="72"/>
      <c r="Y60" s="72">
        <v>0</v>
      </c>
      <c r="Z60" s="120"/>
      <c r="AA60" s="72"/>
      <c r="AB60" s="72">
        <v>0</v>
      </c>
      <c r="AC60" s="120"/>
      <c r="AD60" s="72"/>
      <c r="AE60" s="72">
        <v>0</v>
      </c>
      <c r="AF60" s="120"/>
    </row>
    <row r="61" spans="1:32" ht="13.9" customHeight="1" x14ac:dyDescent="0.35">
      <c r="A61" s="181"/>
      <c r="B61" s="157"/>
      <c r="C61" s="4" t="s">
        <v>395</v>
      </c>
      <c r="D61" s="10"/>
      <c r="E61" s="7" t="s">
        <v>2</v>
      </c>
      <c r="F61" s="7" t="s">
        <v>390</v>
      </c>
      <c r="G61" s="7">
        <v>3</v>
      </c>
      <c r="H61" s="139"/>
      <c r="I61" s="10" t="s">
        <v>391</v>
      </c>
      <c r="J61" s="10">
        <v>1</v>
      </c>
      <c r="K61" s="139"/>
      <c r="L61" s="10" t="s">
        <v>391</v>
      </c>
      <c r="M61" s="10">
        <v>1</v>
      </c>
      <c r="N61" s="139"/>
      <c r="O61" s="10" t="s">
        <v>391</v>
      </c>
      <c r="P61" s="10">
        <v>1</v>
      </c>
      <c r="Q61" s="139"/>
      <c r="R61" s="10" t="s">
        <v>390</v>
      </c>
      <c r="S61" s="10">
        <v>3</v>
      </c>
      <c r="T61" s="139"/>
      <c r="U61" s="7"/>
      <c r="V61" s="7">
        <v>0</v>
      </c>
      <c r="W61" s="139"/>
      <c r="X61" s="72" t="s">
        <v>390</v>
      </c>
      <c r="Y61" s="72">
        <v>3</v>
      </c>
      <c r="Z61" s="120"/>
      <c r="AA61" s="72" t="s">
        <v>390</v>
      </c>
      <c r="AB61" s="72">
        <v>3</v>
      </c>
      <c r="AC61" s="120"/>
      <c r="AD61" s="72" t="s">
        <v>390</v>
      </c>
      <c r="AE61" s="72">
        <v>3</v>
      </c>
      <c r="AF61" s="120"/>
    </row>
    <row r="62" spans="1:32" x14ac:dyDescent="0.35">
      <c r="A62" s="181"/>
      <c r="B62" s="157"/>
      <c r="C62" s="16" t="s">
        <v>136</v>
      </c>
      <c r="D62" s="10"/>
      <c r="E62" s="7" t="s">
        <v>2</v>
      </c>
      <c r="F62" s="7"/>
      <c r="G62" s="7">
        <v>0</v>
      </c>
      <c r="H62" s="139"/>
      <c r="I62" s="10" t="s">
        <v>390</v>
      </c>
      <c r="J62" s="10">
        <v>3</v>
      </c>
      <c r="K62" s="139"/>
      <c r="L62" s="7"/>
      <c r="M62" s="7">
        <v>0</v>
      </c>
      <c r="N62" s="139"/>
      <c r="O62" s="7"/>
      <c r="P62" s="7">
        <v>0</v>
      </c>
      <c r="Q62" s="139"/>
      <c r="R62" s="7"/>
      <c r="S62" s="7">
        <v>0</v>
      </c>
      <c r="T62" s="139"/>
      <c r="U62" s="7"/>
      <c r="V62" s="7">
        <v>0</v>
      </c>
      <c r="W62" s="139"/>
      <c r="X62" s="72"/>
      <c r="Y62" s="72">
        <v>0</v>
      </c>
      <c r="Z62" s="120"/>
      <c r="AA62" s="72"/>
      <c r="AB62" s="72">
        <v>0</v>
      </c>
      <c r="AC62" s="120"/>
      <c r="AD62" s="72"/>
      <c r="AE62" s="72">
        <v>0</v>
      </c>
      <c r="AF62" s="120"/>
    </row>
    <row r="63" spans="1:32" ht="13.9" customHeight="1" x14ac:dyDescent="0.35">
      <c r="A63" s="181"/>
      <c r="B63" s="157"/>
      <c r="C63" s="4" t="s">
        <v>397</v>
      </c>
      <c r="D63" s="10"/>
      <c r="E63" s="7" t="s">
        <v>2</v>
      </c>
      <c r="F63" s="7"/>
      <c r="G63" s="7">
        <v>0</v>
      </c>
      <c r="H63" s="139"/>
      <c r="I63" s="10" t="s">
        <v>391</v>
      </c>
      <c r="J63" s="10">
        <v>1</v>
      </c>
      <c r="K63" s="139"/>
      <c r="L63" s="7"/>
      <c r="M63" s="7">
        <v>0</v>
      </c>
      <c r="N63" s="139"/>
      <c r="O63" s="7"/>
      <c r="P63" s="7">
        <v>0</v>
      </c>
      <c r="Q63" s="139"/>
      <c r="R63" s="10" t="s">
        <v>391</v>
      </c>
      <c r="S63" s="10">
        <v>1</v>
      </c>
      <c r="T63" s="139"/>
      <c r="U63" s="7"/>
      <c r="V63" s="7">
        <v>0</v>
      </c>
      <c r="W63" s="139"/>
      <c r="X63" s="72" t="s">
        <v>391</v>
      </c>
      <c r="Y63" s="72">
        <v>1</v>
      </c>
      <c r="Z63" s="120"/>
      <c r="AA63" s="72" t="s">
        <v>391</v>
      </c>
      <c r="AB63" s="72">
        <v>1</v>
      </c>
      <c r="AC63" s="120"/>
      <c r="AD63" s="72" t="s">
        <v>390</v>
      </c>
      <c r="AE63" s="72">
        <v>3</v>
      </c>
      <c r="AF63" s="120"/>
    </row>
    <row r="64" spans="1:32" ht="13.9" customHeight="1" x14ac:dyDescent="0.35">
      <c r="A64" s="181"/>
      <c r="B64" s="157"/>
      <c r="C64" s="4" t="s">
        <v>107</v>
      </c>
      <c r="D64" s="10"/>
      <c r="E64" s="7" t="s">
        <v>2</v>
      </c>
      <c r="F64" s="10"/>
      <c r="G64" s="10">
        <v>0</v>
      </c>
      <c r="H64" s="139"/>
      <c r="I64" s="7"/>
      <c r="J64" s="7">
        <v>0</v>
      </c>
      <c r="K64" s="139"/>
      <c r="L64" s="7" t="s">
        <v>390</v>
      </c>
      <c r="M64" s="7">
        <v>3</v>
      </c>
      <c r="N64" s="139"/>
      <c r="O64" s="7" t="s">
        <v>159</v>
      </c>
      <c r="P64" s="7">
        <v>3</v>
      </c>
      <c r="Q64" s="139"/>
      <c r="R64" s="7"/>
      <c r="S64" s="7">
        <v>0</v>
      </c>
      <c r="T64" s="139"/>
      <c r="U64" s="7"/>
      <c r="V64" s="7">
        <v>0</v>
      </c>
      <c r="W64" s="139"/>
      <c r="X64" s="72" t="s">
        <v>390</v>
      </c>
      <c r="Y64" s="72">
        <v>3</v>
      </c>
      <c r="Z64" s="120"/>
      <c r="AA64" s="72"/>
      <c r="AB64" s="72">
        <v>0</v>
      </c>
      <c r="AC64" s="120"/>
      <c r="AD64" s="72" t="s">
        <v>390</v>
      </c>
      <c r="AE64" s="72">
        <v>3</v>
      </c>
      <c r="AF64" s="120"/>
    </row>
    <row r="65" spans="1:32" ht="13.9" customHeight="1" x14ac:dyDescent="0.35">
      <c r="A65" s="181"/>
      <c r="B65" s="157"/>
      <c r="C65" s="4" t="s">
        <v>29</v>
      </c>
      <c r="D65" s="10"/>
      <c r="E65" s="7" t="s">
        <v>2</v>
      </c>
      <c r="F65" s="7"/>
      <c r="G65" s="7">
        <v>0</v>
      </c>
      <c r="H65" s="139"/>
      <c r="I65" s="7"/>
      <c r="J65" s="7">
        <v>0</v>
      </c>
      <c r="K65" s="139"/>
      <c r="L65" s="7"/>
      <c r="M65" s="7">
        <v>0</v>
      </c>
      <c r="N65" s="139"/>
      <c r="O65" s="7"/>
      <c r="P65" s="7">
        <v>0</v>
      </c>
      <c r="Q65" s="139"/>
      <c r="R65" s="7"/>
      <c r="S65" s="7">
        <v>0</v>
      </c>
      <c r="T65" s="139"/>
      <c r="U65" s="7" t="s">
        <v>391</v>
      </c>
      <c r="V65" s="7">
        <v>1</v>
      </c>
      <c r="W65" s="139"/>
      <c r="X65" s="72"/>
      <c r="Y65" s="72">
        <v>0</v>
      </c>
      <c r="Z65" s="120"/>
      <c r="AA65" s="72"/>
      <c r="AB65" s="72">
        <v>0</v>
      </c>
      <c r="AC65" s="120"/>
      <c r="AD65" s="72"/>
      <c r="AE65" s="72">
        <v>0</v>
      </c>
      <c r="AF65" s="120"/>
    </row>
    <row r="66" spans="1:32" ht="13.9" customHeight="1" x14ac:dyDescent="0.35">
      <c r="A66" s="181"/>
      <c r="B66" s="157"/>
      <c r="C66" s="4" t="s">
        <v>398</v>
      </c>
      <c r="D66" s="10"/>
      <c r="E66" s="7" t="s">
        <v>2</v>
      </c>
      <c r="F66" s="7" t="s">
        <v>390</v>
      </c>
      <c r="G66" s="7">
        <v>3</v>
      </c>
      <c r="H66" s="141"/>
      <c r="I66" s="10" t="s">
        <v>391</v>
      </c>
      <c r="J66" s="10">
        <v>1</v>
      </c>
      <c r="K66" s="141"/>
      <c r="L66" s="7"/>
      <c r="M66" s="7">
        <v>0</v>
      </c>
      <c r="N66" s="141"/>
      <c r="O66" s="7"/>
      <c r="P66" s="7">
        <v>0</v>
      </c>
      <c r="Q66" s="141"/>
      <c r="R66" s="7"/>
      <c r="S66" s="7">
        <v>0</v>
      </c>
      <c r="T66" s="141"/>
      <c r="U66" s="7"/>
      <c r="V66" s="7">
        <v>0</v>
      </c>
      <c r="W66" s="141"/>
      <c r="X66" s="72" t="s">
        <v>390</v>
      </c>
      <c r="Y66" s="72">
        <v>3</v>
      </c>
      <c r="Z66" s="120"/>
      <c r="AA66" s="72"/>
      <c r="AB66" s="72">
        <v>0</v>
      </c>
      <c r="AC66" s="120"/>
      <c r="AD66" s="72" t="s">
        <v>390</v>
      </c>
      <c r="AE66" s="72">
        <v>3</v>
      </c>
      <c r="AF66" s="120"/>
    </row>
    <row r="67" spans="1:32" ht="13.9" customHeight="1" x14ac:dyDescent="0.35">
      <c r="A67" s="181"/>
      <c r="B67" s="157"/>
      <c r="C67" s="4" t="s">
        <v>399</v>
      </c>
      <c r="D67" s="10"/>
      <c r="E67" s="7" t="s">
        <v>2</v>
      </c>
      <c r="F67" s="7"/>
      <c r="G67" s="7">
        <v>0</v>
      </c>
      <c r="H67" s="139">
        <v>1.8</v>
      </c>
      <c r="I67" s="10" t="s">
        <v>390</v>
      </c>
      <c r="J67" s="10">
        <v>3</v>
      </c>
      <c r="K67" s="139">
        <v>1.5</v>
      </c>
      <c r="L67" s="7"/>
      <c r="M67" s="7">
        <v>0</v>
      </c>
      <c r="N67" s="139">
        <v>0.7</v>
      </c>
      <c r="O67" s="7"/>
      <c r="P67" s="7">
        <v>0</v>
      </c>
      <c r="Q67" s="139">
        <v>0.9</v>
      </c>
      <c r="R67" s="7"/>
      <c r="S67" s="7">
        <v>0</v>
      </c>
      <c r="T67" s="139">
        <v>1.3</v>
      </c>
      <c r="U67" s="10" t="s">
        <v>390</v>
      </c>
      <c r="V67" s="10">
        <v>3</v>
      </c>
      <c r="W67" s="139">
        <v>1.7</v>
      </c>
      <c r="X67" s="72"/>
      <c r="Y67" s="72">
        <v>0</v>
      </c>
      <c r="Z67" s="120">
        <v>1.1000000000000001</v>
      </c>
      <c r="AA67" s="72"/>
      <c r="AB67" s="72">
        <v>0</v>
      </c>
      <c r="AC67" s="120">
        <v>1.3</v>
      </c>
      <c r="AD67" s="72"/>
      <c r="AE67" s="72">
        <v>0</v>
      </c>
      <c r="AF67" s="120">
        <v>1</v>
      </c>
    </row>
    <row r="68" spans="1:32" ht="13.9" customHeight="1" x14ac:dyDescent="0.35">
      <c r="A68" s="181"/>
      <c r="B68" s="157"/>
      <c r="C68" s="4" t="s">
        <v>456</v>
      </c>
      <c r="D68" s="10"/>
      <c r="E68" s="7" t="s">
        <v>2</v>
      </c>
      <c r="F68" s="7" t="s">
        <v>390</v>
      </c>
      <c r="G68" s="10">
        <v>3</v>
      </c>
      <c r="H68" s="139"/>
      <c r="I68" s="10" t="s">
        <v>390</v>
      </c>
      <c r="J68" s="10">
        <v>3</v>
      </c>
      <c r="K68" s="139"/>
      <c r="L68" s="7" t="s">
        <v>390</v>
      </c>
      <c r="M68" s="7">
        <v>3</v>
      </c>
      <c r="N68" s="139"/>
      <c r="O68" s="10"/>
      <c r="P68" s="10">
        <v>0</v>
      </c>
      <c r="Q68" s="139"/>
      <c r="R68" s="10" t="s">
        <v>390</v>
      </c>
      <c r="S68" s="10">
        <v>3</v>
      </c>
      <c r="T68" s="139"/>
      <c r="U68" s="7"/>
      <c r="V68" s="7">
        <v>0</v>
      </c>
      <c r="W68" s="139"/>
      <c r="X68" s="72" t="s">
        <v>390</v>
      </c>
      <c r="Y68" s="72">
        <v>3</v>
      </c>
      <c r="Z68" s="120"/>
      <c r="AA68" s="72" t="s">
        <v>390</v>
      </c>
      <c r="AB68" s="72">
        <v>3</v>
      </c>
      <c r="AC68" s="120"/>
      <c r="AD68" s="72" t="s">
        <v>390</v>
      </c>
      <c r="AE68" s="72">
        <v>3</v>
      </c>
      <c r="AF68" s="120"/>
    </row>
    <row r="69" spans="1:32" ht="13.9" customHeight="1" x14ac:dyDescent="0.35">
      <c r="A69" s="181"/>
      <c r="B69" s="157"/>
      <c r="C69" s="4" t="s">
        <v>400</v>
      </c>
      <c r="D69" s="10"/>
      <c r="E69" s="7" t="s">
        <v>2</v>
      </c>
      <c r="F69" s="7" t="s">
        <v>390</v>
      </c>
      <c r="G69" s="10">
        <v>3</v>
      </c>
      <c r="H69" s="139"/>
      <c r="I69" s="7"/>
      <c r="J69" s="7">
        <v>0</v>
      </c>
      <c r="K69" s="139"/>
      <c r="L69" s="10"/>
      <c r="M69" s="10">
        <v>0</v>
      </c>
      <c r="N69" s="139"/>
      <c r="O69" s="7" t="s">
        <v>390</v>
      </c>
      <c r="P69" s="7">
        <v>3</v>
      </c>
      <c r="Q69" s="139"/>
      <c r="R69" s="10"/>
      <c r="S69" s="10">
        <v>0</v>
      </c>
      <c r="T69" s="139"/>
      <c r="U69" s="7"/>
      <c r="V69" s="7">
        <v>0</v>
      </c>
      <c r="W69" s="139"/>
      <c r="X69" s="72"/>
      <c r="Y69" s="72">
        <v>0</v>
      </c>
      <c r="Z69" s="120"/>
      <c r="AA69" s="72"/>
      <c r="AB69" s="72">
        <v>0</v>
      </c>
      <c r="AC69" s="120"/>
      <c r="AD69" s="72" t="s">
        <v>390</v>
      </c>
      <c r="AE69" s="72">
        <v>3</v>
      </c>
      <c r="AF69" s="120"/>
    </row>
    <row r="70" spans="1:32" x14ac:dyDescent="0.35">
      <c r="A70" s="181"/>
      <c r="B70" s="157"/>
      <c r="C70" s="16" t="s">
        <v>149</v>
      </c>
      <c r="D70" s="10"/>
      <c r="E70" s="7" t="s">
        <v>2</v>
      </c>
      <c r="F70" s="7"/>
      <c r="G70" s="7">
        <v>0</v>
      </c>
      <c r="H70" s="139"/>
      <c r="I70" s="7"/>
      <c r="J70" s="7">
        <v>0</v>
      </c>
      <c r="K70" s="139"/>
      <c r="L70" s="7"/>
      <c r="M70" s="7">
        <v>0</v>
      </c>
      <c r="N70" s="139"/>
      <c r="O70" s="7"/>
      <c r="P70" s="7">
        <v>0</v>
      </c>
      <c r="Q70" s="139"/>
      <c r="R70" s="7"/>
      <c r="S70" s="7">
        <v>0</v>
      </c>
      <c r="T70" s="139"/>
      <c r="U70" s="15" t="s">
        <v>390</v>
      </c>
      <c r="V70" s="15">
        <v>5</v>
      </c>
      <c r="W70" s="139"/>
      <c r="X70" s="72"/>
      <c r="Y70" s="72">
        <v>0</v>
      </c>
      <c r="Z70" s="120"/>
      <c r="AA70" s="72"/>
      <c r="AB70" s="72">
        <v>0</v>
      </c>
      <c r="AC70" s="120"/>
      <c r="AD70" s="72"/>
      <c r="AE70" s="72">
        <v>0</v>
      </c>
      <c r="AF70" s="120"/>
    </row>
    <row r="71" spans="1:32" ht="13.9" customHeight="1" x14ac:dyDescent="0.35">
      <c r="A71" s="181"/>
      <c r="B71" s="157"/>
      <c r="C71" s="4" t="s">
        <v>401</v>
      </c>
      <c r="D71" s="10"/>
      <c r="E71" s="7" t="s">
        <v>2</v>
      </c>
      <c r="F71" s="10" t="s">
        <v>391</v>
      </c>
      <c r="G71" s="10">
        <v>1</v>
      </c>
      <c r="H71" s="139"/>
      <c r="I71" s="10" t="s">
        <v>390</v>
      </c>
      <c r="J71" s="10">
        <v>3</v>
      </c>
      <c r="K71" s="139"/>
      <c r="L71" s="7"/>
      <c r="M71" s="7">
        <v>0</v>
      </c>
      <c r="N71" s="139"/>
      <c r="O71" s="7"/>
      <c r="P71" s="7">
        <v>0</v>
      </c>
      <c r="Q71" s="139"/>
      <c r="R71" s="10" t="s">
        <v>390</v>
      </c>
      <c r="S71" s="10">
        <v>3</v>
      </c>
      <c r="T71" s="139"/>
      <c r="U71" s="10" t="s">
        <v>390</v>
      </c>
      <c r="V71" s="10">
        <v>3</v>
      </c>
      <c r="W71" s="139"/>
      <c r="X71" s="72"/>
      <c r="Y71" s="72">
        <v>0</v>
      </c>
      <c r="Z71" s="120"/>
      <c r="AA71" s="72" t="s">
        <v>390</v>
      </c>
      <c r="AB71" s="72">
        <v>3</v>
      </c>
      <c r="AC71" s="120"/>
      <c r="AD71" s="72" t="s">
        <v>390</v>
      </c>
      <c r="AE71" s="72">
        <v>3</v>
      </c>
      <c r="AF71" s="120"/>
    </row>
    <row r="72" spans="1:32" x14ac:dyDescent="0.35">
      <c r="A72" s="181"/>
      <c r="B72" s="157"/>
      <c r="C72" s="16" t="s">
        <v>150</v>
      </c>
      <c r="D72" s="10"/>
      <c r="E72" s="7" t="s">
        <v>2</v>
      </c>
      <c r="F72" s="7"/>
      <c r="G72" s="7">
        <v>0</v>
      </c>
      <c r="H72" s="139"/>
      <c r="I72" s="7"/>
      <c r="J72" s="7">
        <v>0</v>
      </c>
      <c r="K72" s="139"/>
      <c r="L72" s="7"/>
      <c r="M72" s="7">
        <v>0</v>
      </c>
      <c r="N72" s="139"/>
      <c r="O72" s="7"/>
      <c r="P72" s="7">
        <v>0</v>
      </c>
      <c r="Q72" s="139"/>
      <c r="R72" s="7"/>
      <c r="S72" s="7">
        <v>0</v>
      </c>
      <c r="T72" s="139"/>
      <c r="U72" s="15" t="s">
        <v>391</v>
      </c>
      <c r="V72" s="15">
        <v>5</v>
      </c>
      <c r="W72" s="139"/>
      <c r="X72" s="72"/>
      <c r="Y72" s="72">
        <v>0</v>
      </c>
      <c r="Z72" s="120"/>
      <c r="AA72" s="72"/>
      <c r="AB72" s="72">
        <v>0</v>
      </c>
      <c r="AC72" s="120"/>
      <c r="AD72" s="72"/>
      <c r="AE72" s="72">
        <v>0</v>
      </c>
      <c r="AF72" s="120"/>
    </row>
    <row r="73" spans="1:32" ht="33" x14ac:dyDescent="0.35">
      <c r="A73" s="181"/>
      <c r="B73" s="157"/>
      <c r="C73" s="4" t="s">
        <v>160</v>
      </c>
      <c r="D73" s="10"/>
      <c r="E73" s="7" t="s">
        <v>2</v>
      </c>
      <c r="F73" s="7" t="s">
        <v>216</v>
      </c>
      <c r="G73" s="7">
        <v>3</v>
      </c>
      <c r="H73" s="139"/>
      <c r="I73" s="7" t="s">
        <v>216</v>
      </c>
      <c r="J73" s="7">
        <v>3</v>
      </c>
      <c r="K73" s="139"/>
      <c r="L73" s="12" t="s">
        <v>496</v>
      </c>
      <c r="M73" s="12">
        <v>5</v>
      </c>
      <c r="N73" s="139"/>
      <c r="O73" s="7" t="s">
        <v>216</v>
      </c>
      <c r="P73" s="7">
        <v>3</v>
      </c>
      <c r="Q73" s="139"/>
      <c r="R73" s="7" t="s">
        <v>216</v>
      </c>
      <c r="S73" s="7">
        <v>3</v>
      </c>
      <c r="T73" s="139"/>
      <c r="U73" s="7"/>
      <c r="V73" s="7">
        <v>0</v>
      </c>
      <c r="W73" s="139"/>
      <c r="X73" s="72" t="s">
        <v>266</v>
      </c>
      <c r="Y73" s="72">
        <v>3</v>
      </c>
      <c r="Z73" s="120"/>
      <c r="AA73" s="73" t="s">
        <v>492</v>
      </c>
      <c r="AB73" s="72">
        <v>5</v>
      </c>
      <c r="AC73" s="120"/>
      <c r="AD73" s="72" t="s">
        <v>216</v>
      </c>
      <c r="AE73" s="72">
        <v>3</v>
      </c>
      <c r="AF73" s="120"/>
    </row>
    <row r="74" spans="1:32" ht="33" x14ac:dyDescent="0.35">
      <c r="A74" s="181"/>
      <c r="B74" s="157"/>
      <c r="C74" s="4" t="s">
        <v>458</v>
      </c>
      <c r="D74" s="10"/>
      <c r="E74" s="7" t="s">
        <v>2</v>
      </c>
      <c r="F74" s="12" t="s">
        <v>161</v>
      </c>
      <c r="G74" s="12">
        <v>3</v>
      </c>
      <c r="H74" s="139"/>
      <c r="I74" s="12" t="s">
        <v>217</v>
      </c>
      <c r="J74" s="12">
        <v>3</v>
      </c>
      <c r="K74" s="139"/>
      <c r="L74" s="7"/>
      <c r="M74" s="7">
        <v>3</v>
      </c>
      <c r="N74" s="139"/>
      <c r="O74" s="12" t="s">
        <v>267</v>
      </c>
      <c r="P74" s="12">
        <v>3</v>
      </c>
      <c r="Q74" s="139"/>
      <c r="R74" s="7" t="s">
        <v>218</v>
      </c>
      <c r="S74" s="7">
        <v>3</v>
      </c>
      <c r="T74" s="139"/>
      <c r="U74" s="12" t="s">
        <v>268</v>
      </c>
      <c r="V74" s="12">
        <v>3</v>
      </c>
      <c r="W74" s="139"/>
      <c r="X74" s="72" t="s">
        <v>219</v>
      </c>
      <c r="Y74" s="72">
        <v>3</v>
      </c>
      <c r="Z74" s="120"/>
      <c r="AA74" s="72"/>
      <c r="AB74" s="72">
        <v>0</v>
      </c>
      <c r="AC74" s="120"/>
      <c r="AD74" s="72" t="s">
        <v>217</v>
      </c>
      <c r="AE74" s="72">
        <v>3</v>
      </c>
      <c r="AF74" s="120"/>
    </row>
    <row r="75" spans="1:32" ht="13.9" customHeight="1" x14ac:dyDescent="0.35">
      <c r="A75" s="181"/>
      <c r="B75" s="157"/>
      <c r="C75" s="4" t="s">
        <v>403</v>
      </c>
      <c r="D75" s="10"/>
      <c r="E75" s="7" t="s">
        <v>2</v>
      </c>
      <c r="F75" s="7"/>
      <c r="G75" s="7">
        <v>0</v>
      </c>
      <c r="H75" s="139"/>
      <c r="I75" s="7"/>
      <c r="J75" s="7">
        <v>0</v>
      </c>
      <c r="K75" s="139"/>
      <c r="L75" s="7"/>
      <c r="M75" s="7">
        <v>0</v>
      </c>
      <c r="N75" s="139"/>
      <c r="O75" s="7"/>
      <c r="P75" s="7">
        <v>0</v>
      </c>
      <c r="Q75" s="139"/>
      <c r="R75" s="13"/>
      <c r="S75" s="13">
        <v>0</v>
      </c>
      <c r="T75" s="139"/>
      <c r="U75" s="7"/>
      <c r="V75" s="7">
        <v>0</v>
      </c>
      <c r="W75" s="139"/>
      <c r="X75" s="72"/>
      <c r="Y75" s="72">
        <v>0</v>
      </c>
      <c r="Z75" s="120"/>
      <c r="AA75" s="72"/>
      <c r="AB75" s="72">
        <v>0</v>
      </c>
      <c r="AC75" s="120"/>
      <c r="AD75" s="72"/>
      <c r="AE75" s="72">
        <v>0</v>
      </c>
      <c r="AF75" s="120"/>
    </row>
    <row r="76" spans="1:32" x14ac:dyDescent="0.35">
      <c r="A76" s="181"/>
      <c r="B76" s="157"/>
      <c r="C76" s="4" t="s">
        <v>137</v>
      </c>
      <c r="D76" s="10"/>
      <c r="E76" s="7" t="s">
        <v>2</v>
      </c>
      <c r="F76" s="7" t="s">
        <v>390</v>
      </c>
      <c r="G76" s="7">
        <v>3</v>
      </c>
      <c r="H76" s="139"/>
      <c r="I76" s="13" t="s">
        <v>391</v>
      </c>
      <c r="J76" s="13">
        <v>1</v>
      </c>
      <c r="K76" s="139"/>
      <c r="L76" s="7"/>
      <c r="M76" s="7">
        <v>0</v>
      </c>
      <c r="N76" s="139"/>
      <c r="O76" s="12" t="s">
        <v>391</v>
      </c>
      <c r="P76" s="12">
        <v>1</v>
      </c>
      <c r="Q76" s="139"/>
      <c r="R76" s="7"/>
      <c r="S76" s="7">
        <v>0</v>
      </c>
      <c r="T76" s="139"/>
      <c r="U76" s="7" t="s">
        <v>391</v>
      </c>
      <c r="V76" s="7">
        <v>1</v>
      </c>
      <c r="W76" s="139"/>
      <c r="X76" s="72" t="s">
        <v>390</v>
      </c>
      <c r="Y76" s="72">
        <v>3</v>
      </c>
      <c r="Z76" s="120"/>
      <c r="AA76" s="72" t="s">
        <v>390</v>
      </c>
      <c r="AB76" s="72">
        <v>3</v>
      </c>
      <c r="AC76" s="120"/>
      <c r="AD76" s="72"/>
      <c r="AE76" s="72">
        <v>0</v>
      </c>
      <c r="AF76" s="120"/>
    </row>
    <row r="77" spans="1:32" ht="13.9" customHeight="1" x14ac:dyDescent="0.35">
      <c r="A77" s="181"/>
      <c r="B77" s="157"/>
      <c r="C77" s="4" t="s">
        <v>138</v>
      </c>
      <c r="D77" s="10"/>
      <c r="E77" s="7" t="s">
        <v>2</v>
      </c>
      <c r="F77" s="10" t="s">
        <v>390</v>
      </c>
      <c r="G77" s="10">
        <v>3</v>
      </c>
      <c r="H77" s="139"/>
      <c r="I77" s="13" t="s">
        <v>391</v>
      </c>
      <c r="J77" s="13">
        <v>1</v>
      </c>
      <c r="K77" s="139"/>
      <c r="L77" s="7"/>
      <c r="M77" s="7">
        <v>0</v>
      </c>
      <c r="N77" s="139"/>
      <c r="O77" s="13" t="s">
        <v>391</v>
      </c>
      <c r="P77" s="13">
        <v>1</v>
      </c>
      <c r="Q77" s="139"/>
      <c r="R77" s="7"/>
      <c r="S77" s="7">
        <v>0</v>
      </c>
      <c r="T77" s="139"/>
      <c r="U77" s="7"/>
      <c r="V77" s="7">
        <v>0</v>
      </c>
      <c r="W77" s="139"/>
      <c r="X77" s="72"/>
      <c r="Y77" s="72">
        <v>0</v>
      </c>
      <c r="Z77" s="120"/>
      <c r="AA77" s="72" t="s">
        <v>391</v>
      </c>
      <c r="AB77" s="72">
        <v>1</v>
      </c>
      <c r="AC77" s="120"/>
      <c r="AD77" s="72"/>
      <c r="AE77" s="72">
        <v>0</v>
      </c>
      <c r="AF77" s="120"/>
    </row>
    <row r="78" spans="1:32" ht="13.9" customHeight="1" x14ac:dyDescent="0.35">
      <c r="A78" s="181"/>
      <c r="B78" s="157"/>
      <c r="C78" s="4" t="s">
        <v>459</v>
      </c>
      <c r="D78" s="10"/>
      <c r="E78" s="7" t="s">
        <v>2</v>
      </c>
      <c r="F78" s="10" t="s">
        <v>390</v>
      </c>
      <c r="G78" s="10">
        <v>3</v>
      </c>
      <c r="H78" s="139"/>
      <c r="I78" s="13" t="s">
        <v>391</v>
      </c>
      <c r="J78" s="13">
        <v>1</v>
      </c>
      <c r="K78" s="139"/>
      <c r="L78" s="7"/>
      <c r="M78" s="7">
        <v>0</v>
      </c>
      <c r="N78" s="139"/>
      <c r="O78" s="7"/>
      <c r="P78" s="7">
        <v>0</v>
      </c>
      <c r="Q78" s="139"/>
      <c r="R78" s="7"/>
      <c r="S78" s="7">
        <v>0</v>
      </c>
      <c r="T78" s="139"/>
      <c r="U78" s="7"/>
      <c r="V78" s="7">
        <v>0</v>
      </c>
      <c r="W78" s="139"/>
      <c r="X78" s="72"/>
      <c r="Y78" s="72">
        <v>0</v>
      </c>
      <c r="Z78" s="120"/>
      <c r="AA78" s="72"/>
      <c r="AB78" s="72">
        <v>0</v>
      </c>
      <c r="AC78" s="120"/>
      <c r="AD78" s="72"/>
      <c r="AE78" s="72">
        <v>0</v>
      </c>
      <c r="AF78" s="120"/>
    </row>
    <row r="79" spans="1:32" ht="13.9" customHeight="1" x14ac:dyDescent="0.35">
      <c r="A79" s="181"/>
      <c r="B79" s="157"/>
      <c r="C79" s="4" t="s">
        <v>460</v>
      </c>
      <c r="D79" s="10"/>
      <c r="E79" s="7" t="s">
        <v>2</v>
      </c>
      <c r="F79" s="7" t="s">
        <v>391</v>
      </c>
      <c r="G79" s="7">
        <v>1</v>
      </c>
      <c r="H79" s="139"/>
      <c r="I79" s="13" t="s">
        <v>391</v>
      </c>
      <c r="J79" s="13">
        <v>1</v>
      </c>
      <c r="K79" s="139"/>
      <c r="L79" s="7"/>
      <c r="M79" s="7">
        <v>0</v>
      </c>
      <c r="N79" s="139"/>
      <c r="O79" s="13"/>
      <c r="P79" s="13">
        <v>0</v>
      </c>
      <c r="Q79" s="139"/>
      <c r="R79" s="13" t="s">
        <v>391</v>
      </c>
      <c r="S79" s="13">
        <v>1</v>
      </c>
      <c r="T79" s="139"/>
      <c r="U79" s="13" t="s">
        <v>391</v>
      </c>
      <c r="V79" s="13">
        <v>1</v>
      </c>
      <c r="W79" s="139"/>
      <c r="X79" s="72" t="s">
        <v>391</v>
      </c>
      <c r="Y79" s="72">
        <v>1</v>
      </c>
      <c r="Z79" s="120"/>
      <c r="AA79" s="72" t="s">
        <v>391</v>
      </c>
      <c r="AB79" s="72">
        <v>1</v>
      </c>
      <c r="AC79" s="120"/>
      <c r="AD79" s="72"/>
      <c r="AE79" s="72">
        <v>0</v>
      </c>
      <c r="AF79" s="120"/>
    </row>
    <row r="80" spans="1:32" ht="13.9" customHeight="1" x14ac:dyDescent="0.35">
      <c r="A80" s="181"/>
      <c r="B80" s="157"/>
      <c r="C80" s="4" t="s">
        <v>461</v>
      </c>
      <c r="D80" s="10"/>
      <c r="E80" s="7" t="s">
        <v>2</v>
      </c>
      <c r="F80" s="10" t="s">
        <v>391</v>
      </c>
      <c r="G80" s="10">
        <v>1</v>
      </c>
      <c r="H80" s="139"/>
      <c r="I80" s="13" t="s">
        <v>391</v>
      </c>
      <c r="J80" s="13">
        <v>1</v>
      </c>
      <c r="K80" s="139"/>
      <c r="L80" s="7"/>
      <c r="M80" s="7">
        <v>0</v>
      </c>
      <c r="N80" s="139"/>
      <c r="O80" s="13" t="s">
        <v>390</v>
      </c>
      <c r="P80" s="13">
        <v>3</v>
      </c>
      <c r="Q80" s="139"/>
      <c r="R80" s="13" t="s">
        <v>390</v>
      </c>
      <c r="S80" s="13">
        <v>3</v>
      </c>
      <c r="T80" s="139"/>
      <c r="U80" s="13" t="s">
        <v>391</v>
      </c>
      <c r="V80" s="13">
        <v>1</v>
      </c>
      <c r="W80" s="139"/>
      <c r="X80" s="72" t="s">
        <v>391</v>
      </c>
      <c r="Y80" s="72">
        <v>1</v>
      </c>
      <c r="Z80" s="120"/>
      <c r="AA80" s="72" t="s">
        <v>391</v>
      </c>
      <c r="AB80" s="72">
        <v>1</v>
      </c>
      <c r="AC80" s="120"/>
      <c r="AD80" s="72"/>
      <c r="AE80" s="72">
        <v>0</v>
      </c>
      <c r="AF80" s="120"/>
    </row>
    <row r="81" spans="1:32" ht="13.9" customHeight="1" x14ac:dyDescent="0.35">
      <c r="A81" s="181"/>
      <c r="B81" s="157"/>
      <c r="C81" s="4" t="s">
        <v>462</v>
      </c>
      <c r="D81" s="10"/>
      <c r="E81" s="7" t="s">
        <v>2</v>
      </c>
      <c r="F81" s="10" t="s">
        <v>390</v>
      </c>
      <c r="G81" s="10">
        <v>3</v>
      </c>
      <c r="H81" s="141"/>
      <c r="I81" s="10" t="s">
        <v>390</v>
      </c>
      <c r="J81" s="10">
        <v>3</v>
      </c>
      <c r="K81" s="141"/>
      <c r="L81" s="7"/>
      <c r="M81" s="7">
        <v>0</v>
      </c>
      <c r="N81" s="141"/>
      <c r="O81" s="10"/>
      <c r="P81" s="10">
        <v>0</v>
      </c>
      <c r="Q81" s="141"/>
      <c r="R81" s="10" t="s">
        <v>390</v>
      </c>
      <c r="S81" s="10">
        <v>3</v>
      </c>
      <c r="T81" s="141"/>
      <c r="U81" s="10" t="s">
        <v>390</v>
      </c>
      <c r="V81" s="10">
        <v>3</v>
      </c>
      <c r="W81" s="141"/>
      <c r="X81" s="72" t="s">
        <v>390</v>
      </c>
      <c r="Y81" s="72">
        <v>3</v>
      </c>
      <c r="Z81" s="120"/>
      <c r="AA81" s="72" t="s">
        <v>390</v>
      </c>
      <c r="AB81" s="72">
        <v>3</v>
      </c>
      <c r="AC81" s="120"/>
      <c r="AD81" s="72"/>
      <c r="AE81" s="72">
        <v>0</v>
      </c>
      <c r="AF81" s="120"/>
    </row>
    <row r="82" spans="1:32" ht="82.5" x14ac:dyDescent="0.35">
      <c r="A82" s="181"/>
      <c r="B82" s="162" t="s">
        <v>111</v>
      </c>
      <c r="C82" s="4" t="s">
        <v>463</v>
      </c>
      <c r="D82" s="10"/>
      <c r="E82" s="7" t="s">
        <v>2</v>
      </c>
      <c r="F82" s="12" t="s">
        <v>497</v>
      </c>
      <c r="G82" s="12">
        <v>3</v>
      </c>
      <c r="H82" s="155">
        <v>1</v>
      </c>
      <c r="I82" s="12" t="s">
        <v>498</v>
      </c>
      <c r="J82" s="12">
        <v>3</v>
      </c>
      <c r="K82" s="155">
        <v>1.9</v>
      </c>
      <c r="L82" s="12" t="s">
        <v>499</v>
      </c>
      <c r="M82" s="12">
        <v>3</v>
      </c>
      <c r="N82" s="155">
        <v>1.3</v>
      </c>
      <c r="O82" s="12" t="s">
        <v>500</v>
      </c>
      <c r="P82" s="12">
        <v>3</v>
      </c>
      <c r="Q82" s="155">
        <v>1.4</v>
      </c>
      <c r="R82" s="12" t="s">
        <v>501</v>
      </c>
      <c r="S82" s="12">
        <v>3</v>
      </c>
      <c r="T82" s="155">
        <v>1.4</v>
      </c>
      <c r="U82" s="7" t="s">
        <v>390</v>
      </c>
      <c r="V82" s="7">
        <v>3</v>
      </c>
      <c r="W82" s="140">
        <v>1.3</v>
      </c>
      <c r="X82" s="73" t="s">
        <v>502</v>
      </c>
      <c r="Y82" s="72">
        <v>3</v>
      </c>
      <c r="Z82" s="120">
        <v>1.4</v>
      </c>
      <c r="AA82" s="73" t="s">
        <v>503</v>
      </c>
      <c r="AB82" s="72">
        <v>3</v>
      </c>
      <c r="AC82" s="120">
        <v>1.5</v>
      </c>
      <c r="AD82" s="73" t="s">
        <v>504</v>
      </c>
      <c r="AE82" s="72">
        <v>3</v>
      </c>
      <c r="AF82" s="120">
        <v>0.8</v>
      </c>
    </row>
    <row r="83" spans="1:32" ht="13.9" customHeight="1" x14ac:dyDescent="0.35">
      <c r="A83" s="181"/>
      <c r="B83" s="162"/>
      <c r="C83" s="4" t="s">
        <v>404</v>
      </c>
      <c r="D83" s="10"/>
      <c r="E83" s="7" t="s">
        <v>2</v>
      </c>
      <c r="F83" s="12" t="s">
        <v>390</v>
      </c>
      <c r="G83" s="12">
        <v>3</v>
      </c>
      <c r="H83" s="150"/>
      <c r="I83" s="7"/>
      <c r="J83" s="7">
        <v>0</v>
      </c>
      <c r="K83" s="150"/>
      <c r="L83" s="7"/>
      <c r="M83" s="7">
        <v>0</v>
      </c>
      <c r="N83" s="150"/>
      <c r="O83" s="7"/>
      <c r="P83" s="7">
        <v>0</v>
      </c>
      <c r="Q83" s="150"/>
      <c r="R83" s="7"/>
      <c r="S83" s="7">
        <v>0</v>
      </c>
      <c r="T83" s="150"/>
      <c r="U83" s="13" t="s">
        <v>391</v>
      </c>
      <c r="V83" s="13">
        <v>1</v>
      </c>
      <c r="W83" s="139"/>
      <c r="X83" s="72" t="s">
        <v>391</v>
      </c>
      <c r="Y83" s="72">
        <v>1</v>
      </c>
      <c r="Z83" s="120"/>
      <c r="AA83" s="72" t="s">
        <v>391</v>
      </c>
      <c r="AB83" s="72">
        <v>1</v>
      </c>
      <c r="AC83" s="120"/>
      <c r="AD83" s="72"/>
      <c r="AE83" s="72">
        <v>0</v>
      </c>
      <c r="AF83" s="120"/>
    </row>
    <row r="84" spans="1:32" ht="13.9" customHeight="1" x14ac:dyDescent="0.35">
      <c r="A84" s="181"/>
      <c r="B84" s="162"/>
      <c r="C84" s="4" t="s">
        <v>405</v>
      </c>
      <c r="D84" s="10"/>
      <c r="E84" s="7" t="s">
        <v>2</v>
      </c>
      <c r="F84" s="7" t="s">
        <v>390</v>
      </c>
      <c r="G84" s="7">
        <v>3</v>
      </c>
      <c r="H84" s="150"/>
      <c r="I84" s="7"/>
      <c r="J84" s="7">
        <v>0</v>
      </c>
      <c r="K84" s="150"/>
      <c r="L84" s="7" t="s">
        <v>390</v>
      </c>
      <c r="M84" s="7">
        <v>3</v>
      </c>
      <c r="N84" s="150"/>
      <c r="O84" s="7"/>
      <c r="P84" s="7">
        <v>0</v>
      </c>
      <c r="Q84" s="150"/>
      <c r="R84" s="7" t="s">
        <v>390</v>
      </c>
      <c r="S84" s="7">
        <v>3</v>
      </c>
      <c r="T84" s="150"/>
      <c r="U84" s="7" t="s">
        <v>391</v>
      </c>
      <c r="V84" s="7">
        <v>1</v>
      </c>
      <c r="W84" s="139"/>
      <c r="X84" s="72" t="s">
        <v>390</v>
      </c>
      <c r="Y84" s="72">
        <v>3</v>
      </c>
      <c r="Z84" s="120"/>
      <c r="AA84" s="72" t="s">
        <v>390</v>
      </c>
      <c r="AB84" s="72">
        <v>3</v>
      </c>
      <c r="AC84" s="120"/>
      <c r="AD84" s="72" t="s">
        <v>390</v>
      </c>
      <c r="AE84" s="72">
        <v>3</v>
      </c>
      <c r="AF84" s="120"/>
    </row>
    <row r="85" spans="1:32" ht="13.9" customHeight="1" x14ac:dyDescent="0.35">
      <c r="A85" s="181"/>
      <c r="B85" s="162"/>
      <c r="C85" s="4" t="s">
        <v>472</v>
      </c>
      <c r="D85" s="10"/>
      <c r="E85" s="7" t="s">
        <v>2</v>
      </c>
      <c r="F85" s="7"/>
      <c r="G85" s="7">
        <v>0</v>
      </c>
      <c r="H85" s="150"/>
      <c r="I85" s="10"/>
      <c r="J85" s="10">
        <v>0</v>
      </c>
      <c r="K85" s="150"/>
      <c r="L85" s="7"/>
      <c r="M85" s="7">
        <v>0</v>
      </c>
      <c r="N85" s="150"/>
      <c r="O85" s="7"/>
      <c r="P85" s="7">
        <v>0</v>
      </c>
      <c r="Q85" s="150"/>
      <c r="R85" s="10" t="s">
        <v>390</v>
      </c>
      <c r="S85" s="10">
        <v>3</v>
      </c>
      <c r="T85" s="150"/>
      <c r="U85" s="7"/>
      <c r="V85" s="7">
        <v>0</v>
      </c>
      <c r="W85" s="139"/>
      <c r="X85" s="72"/>
      <c r="Y85" s="72">
        <v>0</v>
      </c>
      <c r="Z85" s="120"/>
      <c r="AA85" s="72" t="s">
        <v>390</v>
      </c>
      <c r="AB85" s="72">
        <v>3</v>
      </c>
      <c r="AC85" s="120"/>
      <c r="AD85" s="72"/>
      <c r="AE85" s="72">
        <v>0</v>
      </c>
      <c r="AF85" s="120"/>
    </row>
    <row r="86" spans="1:32" ht="49.5" x14ac:dyDescent="0.35">
      <c r="A86" s="181"/>
      <c r="B86" s="162"/>
      <c r="C86" s="4" t="s">
        <v>162</v>
      </c>
      <c r="D86" s="10"/>
      <c r="E86" s="7" t="s">
        <v>2</v>
      </c>
      <c r="F86" s="7" t="s">
        <v>505</v>
      </c>
      <c r="G86" s="7">
        <v>3</v>
      </c>
      <c r="H86" s="150"/>
      <c r="I86" s="13" t="s">
        <v>493</v>
      </c>
      <c r="J86" s="12">
        <v>5</v>
      </c>
      <c r="K86" s="150"/>
      <c r="L86" s="12" t="s">
        <v>473</v>
      </c>
      <c r="M86" s="12">
        <v>5</v>
      </c>
      <c r="N86" s="150"/>
      <c r="O86" s="12" t="s">
        <v>478</v>
      </c>
      <c r="P86" s="12">
        <v>5</v>
      </c>
      <c r="Q86" s="150"/>
      <c r="R86" s="12" t="s">
        <v>473</v>
      </c>
      <c r="S86" s="12">
        <v>5</v>
      </c>
      <c r="T86" s="150"/>
      <c r="U86" s="12" t="s">
        <v>493</v>
      </c>
      <c r="V86" s="12">
        <v>5</v>
      </c>
      <c r="W86" s="139"/>
      <c r="X86" s="73" t="s">
        <v>478</v>
      </c>
      <c r="Y86" s="72">
        <v>5</v>
      </c>
      <c r="Z86" s="120"/>
      <c r="AA86" s="73" t="s">
        <v>506</v>
      </c>
      <c r="AB86" s="72">
        <v>5</v>
      </c>
      <c r="AC86" s="120"/>
      <c r="AD86" s="72" t="s">
        <v>507</v>
      </c>
      <c r="AE86" s="72">
        <v>3</v>
      </c>
      <c r="AF86" s="120"/>
    </row>
    <row r="87" spans="1:32" s="14" customFormat="1" ht="33" x14ac:dyDescent="0.25">
      <c r="A87" s="181"/>
      <c r="B87" s="162"/>
      <c r="C87" s="4" t="s">
        <v>435</v>
      </c>
      <c r="D87" s="7"/>
      <c r="E87" s="7" t="s">
        <v>2</v>
      </c>
      <c r="F87" s="7"/>
      <c r="G87" s="7">
        <v>0</v>
      </c>
      <c r="H87" s="150"/>
      <c r="I87" s="12" t="s">
        <v>269</v>
      </c>
      <c r="J87" s="12">
        <v>3</v>
      </c>
      <c r="K87" s="150"/>
      <c r="L87" s="12" t="s">
        <v>220</v>
      </c>
      <c r="M87" s="12">
        <v>3</v>
      </c>
      <c r="N87" s="150"/>
      <c r="O87" s="7" t="s">
        <v>154</v>
      </c>
      <c r="P87" s="7">
        <v>3</v>
      </c>
      <c r="Q87" s="150"/>
      <c r="R87" s="7" t="s">
        <v>155</v>
      </c>
      <c r="S87" s="7">
        <v>3</v>
      </c>
      <c r="T87" s="150"/>
      <c r="U87" s="7"/>
      <c r="V87" s="7">
        <v>0</v>
      </c>
      <c r="W87" s="139"/>
      <c r="X87" s="72" t="s">
        <v>270</v>
      </c>
      <c r="Y87" s="72">
        <v>3</v>
      </c>
      <c r="Z87" s="120"/>
      <c r="AA87" s="73" t="s">
        <v>271</v>
      </c>
      <c r="AB87" s="72">
        <v>3</v>
      </c>
      <c r="AC87" s="120"/>
      <c r="AD87" s="72"/>
      <c r="AE87" s="72">
        <v>0</v>
      </c>
      <c r="AF87" s="120"/>
    </row>
    <row r="88" spans="1:32" ht="13.9" customHeight="1" x14ac:dyDescent="0.35">
      <c r="A88" s="181"/>
      <c r="B88" s="162"/>
      <c r="C88" s="4" t="s">
        <v>139</v>
      </c>
      <c r="D88" s="10"/>
      <c r="E88" s="7" t="s">
        <v>2</v>
      </c>
      <c r="F88" s="7"/>
      <c r="G88" s="7">
        <v>0</v>
      </c>
      <c r="H88" s="150"/>
      <c r="I88" s="13" t="s">
        <v>390</v>
      </c>
      <c r="J88" s="13">
        <v>3</v>
      </c>
      <c r="K88" s="150"/>
      <c r="L88" s="7"/>
      <c r="M88" s="7">
        <v>0</v>
      </c>
      <c r="N88" s="150"/>
      <c r="O88" s="7"/>
      <c r="P88" s="7">
        <v>0</v>
      </c>
      <c r="Q88" s="150"/>
      <c r="R88" s="7"/>
      <c r="S88" s="7">
        <v>0</v>
      </c>
      <c r="T88" s="150"/>
      <c r="U88" s="10" t="s">
        <v>391</v>
      </c>
      <c r="V88" s="10">
        <v>1</v>
      </c>
      <c r="W88" s="139"/>
      <c r="X88" s="72"/>
      <c r="Y88" s="72">
        <v>0</v>
      </c>
      <c r="Z88" s="120"/>
      <c r="AA88" s="72"/>
      <c r="AB88" s="72">
        <v>0</v>
      </c>
      <c r="AC88" s="120"/>
      <c r="AD88" s="72"/>
      <c r="AE88" s="72">
        <v>0</v>
      </c>
      <c r="AF88" s="120"/>
    </row>
    <row r="89" spans="1:32" x14ac:dyDescent="0.35">
      <c r="A89" s="181"/>
      <c r="B89" s="162"/>
      <c r="C89" s="4" t="s">
        <v>114</v>
      </c>
      <c r="D89" s="10"/>
      <c r="E89" s="7" t="s">
        <v>2</v>
      </c>
      <c r="F89" s="7"/>
      <c r="G89" s="7">
        <v>0</v>
      </c>
      <c r="H89" s="150"/>
      <c r="I89" s="13" t="s">
        <v>390</v>
      </c>
      <c r="J89" s="12">
        <v>3</v>
      </c>
      <c r="K89" s="150"/>
      <c r="L89" s="7" t="s">
        <v>391</v>
      </c>
      <c r="M89" s="7">
        <v>1</v>
      </c>
      <c r="N89" s="150"/>
      <c r="O89" s="7" t="s">
        <v>390</v>
      </c>
      <c r="P89" s="7">
        <v>3</v>
      </c>
      <c r="Q89" s="150"/>
      <c r="R89" s="7"/>
      <c r="S89" s="7">
        <v>0</v>
      </c>
      <c r="T89" s="150"/>
      <c r="U89" s="7" t="s">
        <v>391</v>
      </c>
      <c r="V89" s="7">
        <v>1</v>
      </c>
      <c r="W89" s="139"/>
      <c r="X89" s="72"/>
      <c r="Y89" s="72">
        <v>0</v>
      </c>
      <c r="Z89" s="120"/>
      <c r="AA89" s="72"/>
      <c r="AB89" s="72">
        <v>0</v>
      </c>
      <c r="AC89" s="120"/>
      <c r="AD89" s="72"/>
      <c r="AE89" s="72">
        <v>0</v>
      </c>
      <c r="AF89" s="120"/>
    </row>
    <row r="90" spans="1:32" ht="13.9" customHeight="1" x14ac:dyDescent="0.35">
      <c r="A90" s="181"/>
      <c r="B90" s="162"/>
      <c r="C90" s="4" t="s">
        <v>116</v>
      </c>
      <c r="D90" s="10"/>
      <c r="E90" s="7" t="s">
        <v>2</v>
      </c>
      <c r="F90" s="7"/>
      <c r="G90" s="7">
        <v>0</v>
      </c>
      <c r="H90" s="150"/>
      <c r="I90" s="10" t="s">
        <v>390</v>
      </c>
      <c r="J90" s="10">
        <v>3</v>
      </c>
      <c r="K90" s="150"/>
      <c r="L90" s="7"/>
      <c r="M90" s="7">
        <v>0</v>
      </c>
      <c r="N90" s="150"/>
      <c r="O90" s="7"/>
      <c r="P90" s="7">
        <v>0</v>
      </c>
      <c r="Q90" s="150"/>
      <c r="R90" s="7"/>
      <c r="S90" s="7">
        <v>0</v>
      </c>
      <c r="T90" s="150"/>
      <c r="U90" s="10" t="s">
        <v>391</v>
      </c>
      <c r="V90" s="10">
        <v>1</v>
      </c>
      <c r="W90" s="139"/>
      <c r="X90" s="72"/>
      <c r="Y90" s="72">
        <v>0</v>
      </c>
      <c r="Z90" s="120"/>
      <c r="AA90" s="72"/>
      <c r="AB90" s="72">
        <v>0</v>
      </c>
      <c r="AC90" s="120"/>
      <c r="AD90" s="72"/>
      <c r="AE90" s="72">
        <v>0</v>
      </c>
      <c r="AF90" s="120"/>
    </row>
    <row r="91" spans="1:32" x14ac:dyDescent="0.35">
      <c r="A91" s="181"/>
      <c r="B91" s="162"/>
      <c r="C91" s="16" t="s">
        <v>140</v>
      </c>
      <c r="D91" s="10"/>
      <c r="E91" s="7" t="s">
        <v>2</v>
      </c>
      <c r="F91" s="7"/>
      <c r="G91" s="7">
        <v>0</v>
      </c>
      <c r="H91" s="150"/>
      <c r="I91" s="15"/>
      <c r="J91" s="15">
        <v>0</v>
      </c>
      <c r="K91" s="150"/>
      <c r="L91" s="7"/>
      <c r="M91" s="7">
        <v>0</v>
      </c>
      <c r="N91" s="150"/>
      <c r="O91" s="7"/>
      <c r="P91" s="7">
        <v>0</v>
      </c>
      <c r="Q91" s="150"/>
      <c r="R91" s="7"/>
      <c r="S91" s="7">
        <v>0</v>
      </c>
      <c r="T91" s="150"/>
      <c r="U91" s="7"/>
      <c r="V91" s="7">
        <v>0</v>
      </c>
      <c r="W91" s="139"/>
      <c r="X91" s="72"/>
      <c r="Y91" s="72">
        <v>0</v>
      </c>
      <c r="Z91" s="120"/>
      <c r="AA91" s="72"/>
      <c r="AB91" s="72">
        <v>0</v>
      </c>
      <c r="AC91" s="120"/>
      <c r="AD91" s="72"/>
      <c r="AE91" s="72">
        <v>0</v>
      </c>
      <c r="AF91" s="120"/>
    </row>
    <row r="92" spans="1:32" ht="13.9" customHeight="1" x14ac:dyDescent="0.35">
      <c r="A92" s="181"/>
      <c r="B92" s="162"/>
      <c r="C92" s="4" t="s">
        <v>141</v>
      </c>
      <c r="D92" s="10"/>
      <c r="E92" s="7" t="s">
        <v>2</v>
      </c>
      <c r="F92" s="7"/>
      <c r="G92" s="7">
        <v>0</v>
      </c>
      <c r="H92" s="150"/>
      <c r="I92" s="10"/>
      <c r="J92" s="10">
        <v>0</v>
      </c>
      <c r="K92" s="150"/>
      <c r="L92" s="7"/>
      <c r="M92" s="7">
        <v>0</v>
      </c>
      <c r="N92" s="150"/>
      <c r="O92" s="7"/>
      <c r="P92" s="7">
        <v>0</v>
      </c>
      <c r="Q92" s="150"/>
      <c r="R92" s="7"/>
      <c r="S92" s="7">
        <v>0</v>
      </c>
      <c r="T92" s="150"/>
      <c r="U92" s="10" t="s">
        <v>391</v>
      </c>
      <c r="V92" s="10">
        <v>1</v>
      </c>
      <c r="W92" s="139"/>
      <c r="X92" s="72" t="s">
        <v>391</v>
      </c>
      <c r="Y92" s="72">
        <v>1</v>
      </c>
      <c r="Z92" s="120"/>
      <c r="AA92" s="72"/>
      <c r="AB92" s="72">
        <v>0</v>
      </c>
      <c r="AC92" s="120"/>
      <c r="AD92" s="72"/>
      <c r="AE92" s="72">
        <v>0</v>
      </c>
      <c r="AF92" s="120"/>
    </row>
    <row r="93" spans="1:32" s="14" customFormat="1" ht="49.5" x14ac:dyDescent="0.25">
      <c r="A93" s="181"/>
      <c r="B93" s="162"/>
      <c r="C93" s="4" t="s">
        <v>438</v>
      </c>
      <c r="D93" s="7"/>
      <c r="E93" s="7" t="s">
        <v>2</v>
      </c>
      <c r="F93" s="7"/>
      <c r="G93" s="7">
        <v>0</v>
      </c>
      <c r="H93" s="151"/>
      <c r="I93" s="12" t="s">
        <v>508</v>
      </c>
      <c r="J93" s="12">
        <v>3</v>
      </c>
      <c r="K93" s="151"/>
      <c r="L93" s="7" t="s">
        <v>443</v>
      </c>
      <c r="M93" s="7">
        <v>1</v>
      </c>
      <c r="N93" s="151"/>
      <c r="O93" s="7" t="s">
        <v>474</v>
      </c>
      <c r="P93" s="7">
        <v>3</v>
      </c>
      <c r="Q93" s="151"/>
      <c r="R93" s="7"/>
      <c r="S93" s="7">
        <v>0</v>
      </c>
      <c r="T93" s="151"/>
      <c r="U93" s="12" t="s">
        <v>477</v>
      </c>
      <c r="V93" s="12">
        <v>1</v>
      </c>
      <c r="W93" s="141"/>
      <c r="X93" s="72" t="s">
        <v>440</v>
      </c>
      <c r="Y93" s="72">
        <v>1</v>
      </c>
      <c r="Z93" s="120"/>
      <c r="AA93" s="72"/>
      <c r="AB93" s="72">
        <v>0</v>
      </c>
      <c r="AC93" s="120"/>
      <c r="AD93" s="72"/>
      <c r="AE93" s="72">
        <v>0</v>
      </c>
      <c r="AF93" s="120"/>
    </row>
    <row r="94" spans="1:32" ht="45" x14ac:dyDescent="0.35">
      <c r="A94" s="181"/>
      <c r="B94" s="149" t="s">
        <v>361</v>
      </c>
      <c r="C94" s="4" t="s">
        <v>464</v>
      </c>
      <c r="D94" s="10"/>
      <c r="E94" s="7" t="s">
        <v>142</v>
      </c>
      <c r="F94" s="7">
        <v>6.9</v>
      </c>
      <c r="G94" s="7">
        <v>3</v>
      </c>
      <c r="H94" s="140">
        <v>2.2999999999999998</v>
      </c>
      <c r="I94" s="12" t="s">
        <v>272</v>
      </c>
      <c r="J94" s="12">
        <v>5</v>
      </c>
      <c r="K94" s="155">
        <v>3</v>
      </c>
      <c r="L94" s="12">
        <v>7</v>
      </c>
      <c r="M94" s="12">
        <v>3</v>
      </c>
      <c r="N94" s="155">
        <v>2.5</v>
      </c>
      <c r="O94" s="7">
        <v>7</v>
      </c>
      <c r="P94" s="7">
        <v>3</v>
      </c>
      <c r="Q94" s="140">
        <v>2.2999999999999998</v>
      </c>
      <c r="R94" s="12">
        <v>7</v>
      </c>
      <c r="S94" s="12">
        <v>3</v>
      </c>
      <c r="T94" s="155">
        <v>2.1</v>
      </c>
      <c r="U94" s="12" t="s">
        <v>509</v>
      </c>
      <c r="V94" s="12">
        <v>5</v>
      </c>
      <c r="W94" s="155">
        <v>2.9</v>
      </c>
      <c r="X94" s="73" t="s">
        <v>510</v>
      </c>
      <c r="Y94" s="72">
        <v>5</v>
      </c>
      <c r="Z94" s="120">
        <v>2.8</v>
      </c>
      <c r="AA94" s="72">
        <v>7.1</v>
      </c>
      <c r="AB94" s="72">
        <v>3</v>
      </c>
      <c r="AC94" s="120">
        <v>2.5</v>
      </c>
      <c r="AD94" s="72">
        <v>7</v>
      </c>
      <c r="AE94" s="72">
        <v>3</v>
      </c>
      <c r="AF94" s="120">
        <v>1.4</v>
      </c>
    </row>
    <row r="95" spans="1:32" ht="60" x14ac:dyDescent="0.35">
      <c r="A95" s="181"/>
      <c r="B95" s="149"/>
      <c r="C95" s="4" t="s">
        <v>465</v>
      </c>
      <c r="D95" s="7"/>
      <c r="E95" s="7" t="s">
        <v>142</v>
      </c>
      <c r="F95" s="12">
        <v>3.35</v>
      </c>
      <c r="G95" s="12">
        <v>3</v>
      </c>
      <c r="H95" s="139"/>
      <c r="I95" s="12" t="s">
        <v>273</v>
      </c>
      <c r="J95" s="12">
        <v>5</v>
      </c>
      <c r="K95" s="150"/>
      <c r="L95" s="12" t="s">
        <v>274</v>
      </c>
      <c r="M95" s="12">
        <v>3</v>
      </c>
      <c r="N95" s="150"/>
      <c r="O95" s="12" t="s">
        <v>275</v>
      </c>
      <c r="P95" s="12">
        <v>3</v>
      </c>
      <c r="Q95" s="139"/>
      <c r="R95" s="12" t="s">
        <v>276</v>
      </c>
      <c r="S95" s="12">
        <v>3</v>
      </c>
      <c r="T95" s="150"/>
      <c r="U95" s="12" t="s">
        <v>511</v>
      </c>
      <c r="V95" s="12">
        <v>5</v>
      </c>
      <c r="W95" s="150"/>
      <c r="X95" s="73" t="s">
        <v>512</v>
      </c>
      <c r="Y95" s="72">
        <v>5</v>
      </c>
      <c r="Z95" s="120"/>
      <c r="AA95" s="72" t="s">
        <v>277</v>
      </c>
      <c r="AB95" s="72">
        <v>3</v>
      </c>
      <c r="AC95" s="120"/>
      <c r="AD95" s="72">
        <v>3.9</v>
      </c>
      <c r="AE95" s="72">
        <v>3</v>
      </c>
      <c r="AF95" s="120"/>
    </row>
    <row r="96" spans="1:32" ht="33" x14ac:dyDescent="0.35">
      <c r="A96" s="181"/>
      <c r="B96" s="149"/>
      <c r="C96" s="4" t="s">
        <v>112</v>
      </c>
      <c r="D96" s="10"/>
      <c r="E96" s="7" t="s">
        <v>1</v>
      </c>
      <c r="F96" s="12" t="s">
        <v>221</v>
      </c>
      <c r="G96" s="12">
        <v>3</v>
      </c>
      <c r="H96" s="139"/>
      <c r="I96" s="12" t="s">
        <v>278</v>
      </c>
      <c r="J96" s="12">
        <v>3</v>
      </c>
      <c r="K96" s="150"/>
      <c r="L96" s="12" t="s">
        <v>279</v>
      </c>
      <c r="M96" s="12">
        <v>3</v>
      </c>
      <c r="N96" s="150"/>
      <c r="O96" s="12" t="s">
        <v>156</v>
      </c>
      <c r="P96" s="12">
        <v>3</v>
      </c>
      <c r="Q96" s="139"/>
      <c r="R96" s="12">
        <v>900</v>
      </c>
      <c r="S96" s="12">
        <v>3</v>
      </c>
      <c r="T96" s="150"/>
      <c r="U96" s="12" t="s">
        <v>280</v>
      </c>
      <c r="V96" s="12">
        <v>3</v>
      </c>
      <c r="W96" s="150"/>
      <c r="X96" s="73" t="s">
        <v>281</v>
      </c>
      <c r="Y96" s="72">
        <v>3</v>
      </c>
      <c r="Z96" s="120"/>
      <c r="AA96" s="73" t="s">
        <v>282</v>
      </c>
      <c r="AB96" s="72">
        <v>3</v>
      </c>
      <c r="AC96" s="120"/>
      <c r="AD96" s="72"/>
      <c r="AE96" s="72">
        <v>0</v>
      </c>
      <c r="AF96" s="120"/>
    </row>
    <row r="97" spans="1:32" x14ac:dyDescent="0.35">
      <c r="A97" s="181"/>
      <c r="B97" s="149"/>
      <c r="C97" s="4" t="s">
        <v>163</v>
      </c>
      <c r="D97" s="10"/>
      <c r="E97" s="7"/>
      <c r="F97" s="7"/>
      <c r="G97" s="7">
        <v>0</v>
      </c>
      <c r="H97" s="139"/>
      <c r="I97" s="12" t="s">
        <v>283</v>
      </c>
      <c r="J97" s="12">
        <v>0</v>
      </c>
      <c r="K97" s="150"/>
      <c r="L97" s="7"/>
      <c r="M97" s="7">
        <v>0</v>
      </c>
      <c r="N97" s="150"/>
      <c r="O97" s="7"/>
      <c r="P97" s="7">
        <v>0</v>
      </c>
      <c r="Q97" s="139"/>
      <c r="R97" s="12"/>
      <c r="S97" s="12">
        <v>0</v>
      </c>
      <c r="T97" s="150"/>
      <c r="U97" s="12"/>
      <c r="V97" s="12">
        <v>0</v>
      </c>
      <c r="W97" s="150"/>
      <c r="X97" s="72"/>
      <c r="Y97" s="72">
        <v>0</v>
      </c>
      <c r="Z97" s="120"/>
      <c r="AA97" s="72"/>
      <c r="AB97" s="72">
        <v>0</v>
      </c>
      <c r="AC97" s="120"/>
      <c r="AD97" s="72"/>
      <c r="AE97" s="72">
        <v>0</v>
      </c>
      <c r="AF97" s="120"/>
    </row>
    <row r="98" spans="1:32" x14ac:dyDescent="0.35">
      <c r="A98" s="181"/>
      <c r="B98" s="149"/>
      <c r="C98" s="4" t="s">
        <v>31</v>
      </c>
      <c r="D98" s="10"/>
      <c r="E98" s="7"/>
      <c r="F98" s="7"/>
      <c r="G98" s="7">
        <v>0</v>
      </c>
      <c r="H98" s="139"/>
      <c r="I98" s="12" t="s">
        <v>390</v>
      </c>
      <c r="J98" s="12">
        <v>3</v>
      </c>
      <c r="K98" s="150"/>
      <c r="L98" s="7" t="s">
        <v>390</v>
      </c>
      <c r="M98" s="7">
        <v>3</v>
      </c>
      <c r="N98" s="150"/>
      <c r="O98" s="7" t="s">
        <v>391</v>
      </c>
      <c r="P98" s="7">
        <v>1</v>
      </c>
      <c r="Q98" s="139"/>
      <c r="R98" s="12"/>
      <c r="S98" s="12">
        <v>0</v>
      </c>
      <c r="T98" s="150"/>
      <c r="U98" s="12" t="s">
        <v>391</v>
      </c>
      <c r="V98" s="12">
        <v>1</v>
      </c>
      <c r="W98" s="150"/>
      <c r="X98" s="72" t="s">
        <v>390</v>
      </c>
      <c r="Y98" s="72">
        <v>3</v>
      </c>
      <c r="Z98" s="120"/>
      <c r="AA98" s="72" t="s">
        <v>390</v>
      </c>
      <c r="AB98" s="72">
        <v>3</v>
      </c>
      <c r="AC98" s="120"/>
      <c r="AD98" s="72"/>
      <c r="AE98" s="72">
        <v>0</v>
      </c>
      <c r="AF98" s="120"/>
    </row>
    <row r="99" spans="1:32" ht="66" x14ac:dyDescent="0.35">
      <c r="A99" s="181"/>
      <c r="B99" s="149"/>
      <c r="C99" s="4" t="s">
        <v>143</v>
      </c>
      <c r="D99" s="10"/>
      <c r="E99" s="7" t="s">
        <v>0</v>
      </c>
      <c r="F99" s="7"/>
      <c r="G99" s="7">
        <v>3</v>
      </c>
      <c r="H99" s="139"/>
      <c r="I99" s="12" t="s">
        <v>284</v>
      </c>
      <c r="J99" s="12">
        <v>5</v>
      </c>
      <c r="K99" s="150"/>
      <c r="L99" s="12" t="s">
        <v>285</v>
      </c>
      <c r="M99" s="12">
        <v>5</v>
      </c>
      <c r="N99" s="150"/>
      <c r="O99" s="12" t="s">
        <v>513</v>
      </c>
      <c r="P99" s="12">
        <v>5</v>
      </c>
      <c r="Q99" s="139"/>
      <c r="R99" s="12" t="s">
        <v>514</v>
      </c>
      <c r="S99" s="12">
        <v>5</v>
      </c>
      <c r="T99" s="150"/>
      <c r="U99" s="12" t="s">
        <v>515</v>
      </c>
      <c r="V99" s="12">
        <v>5</v>
      </c>
      <c r="W99" s="150"/>
      <c r="X99" s="72">
        <v>10700</v>
      </c>
      <c r="Y99" s="72">
        <v>3</v>
      </c>
      <c r="Z99" s="120"/>
      <c r="AA99" s="73" t="s">
        <v>286</v>
      </c>
      <c r="AB99" s="72">
        <v>5</v>
      </c>
      <c r="AC99" s="120"/>
      <c r="AD99" s="72" t="s">
        <v>287</v>
      </c>
      <c r="AE99" s="72">
        <v>5</v>
      </c>
      <c r="AF99" s="120"/>
    </row>
    <row r="100" spans="1:32" x14ac:dyDescent="0.35">
      <c r="A100" s="181"/>
      <c r="B100" s="149"/>
      <c r="C100" s="4" t="s">
        <v>466</v>
      </c>
      <c r="D100" s="10"/>
      <c r="E100" s="7" t="s">
        <v>151</v>
      </c>
      <c r="F100" s="12">
        <v>2.41</v>
      </c>
      <c r="G100" s="12">
        <v>3</v>
      </c>
      <c r="H100" s="141"/>
      <c r="I100" s="12">
        <v>2.41</v>
      </c>
      <c r="J100" s="12">
        <v>3</v>
      </c>
      <c r="K100" s="151"/>
      <c r="L100" s="12" t="s">
        <v>288</v>
      </c>
      <c r="M100" s="12">
        <v>3</v>
      </c>
      <c r="N100" s="151"/>
      <c r="O100" s="12"/>
      <c r="P100" s="12">
        <v>3</v>
      </c>
      <c r="Q100" s="141"/>
      <c r="R100" s="7"/>
      <c r="S100" s="7">
        <v>3</v>
      </c>
      <c r="T100" s="151"/>
      <c r="U100" s="12"/>
      <c r="V100" s="12">
        <v>3</v>
      </c>
      <c r="W100" s="151"/>
      <c r="X100" s="72"/>
      <c r="Y100" s="72">
        <v>3</v>
      </c>
      <c r="Z100" s="120"/>
      <c r="AA100" s="72"/>
      <c r="AB100" s="72">
        <v>3</v>
      </c>
      <c r="AC100" s="120"/>
      <c r="AD100" s="72"/>
      <c r="AE100" s="72">
        <v>0</v>
      </c>
      <c r="AF100" s="120"/>
    </row>
    <row r="101" spans="1:32" ht="14.65" customHeight="1" x14ac:dyDescent="0.35">
      <c r="A101" s="182"/>
      <c r="B101" s="7"/>
      <c r="C101" s="4" t="s">
        <v>153</v>
      </c>
      <c r="D101" s="10"/>
      <c r="E101" s="7" t="s">
        <v>2</v>
      </c>
      <c r="F101" s="12" t="s">
        <v>390</v>
      </c>
      <c r="G101" s="12">
        <v>3</v>
      </c>
      <c r="H101" s="12"/>
      <c r="I101" s="7"/>
      <c r="J101" s="7">
        <v>0</v>
      </c>
      <c r="K101" s="7"/>
      <c r="L101" s="7"/>
      <c r="M101" s="7">
        <v>0</v>
      </c>
      <c r="N101" s="7"/>
      <c r="O101" s="7"/>
      <c r="P101" s="7">
        <v>0</v>
      </c>
      <c r="Q101" s="7"/>
      <c r="R101" s="7"/>
      <c r="S101" s="7">
        <v>0</v>
      </c>
      <c r="T101" s="7"/>
      <c r="U101" s="7" t="s">
        <v>391</v>
      </c>
      <c r="V101" s="7">
        <v>1</v>
      </c>
      <c r="W101" s="7"/>
      <c r="X101" s="72"/>
      <c r="Y101" s="72">
        <v>0</v>
      </c>
      <c r="Z101" s="72"/>
      <c r="AA101" s="72"/>
      <c r="AB101" s="72">
        <v>0</v>
      </c>
      <c r="AC101" s="72"/>
      <c r="AD101" s="72"/>
      <c r="AE101" s="72">
        <v>0</v>
      </c>
      <c r="AF101" s="72"/>
    </row>
    <row r="102" spans="1:32" x14ac:dyDescent="0.35">
      <c r="A102" s="156" t="s">
        <v>408</v>
      </c>
      <c r="B102" s="157" t="s">
        <v>409</v>
      </c>
      <c r="C102" s="4" t="s">
        <v>42</v>
      </c>
      <c r="D102" s="4" t="s">
        <v>164</v>
      </c>
      <c r="E102" s="7"/>
      <c r="F102" s="7"/>
      <c r="G102" s="7"/>
      <c r="H102" s="7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7"/>
    </row>
    <row r="103" spans="1:32" x14ac:dyDescent="0.35">
      <c r="A103" s="156"/>
      <c r="B103" s="157"/>
      <c r="C103" s="4" t="s">
        <v>165</v>
      </c>
      <c r="D103" s="4" t="s">
        <v>120</v>
      </c>
      <c r="E103" s="7"/>
      <c r="F103" s="7"/>
      <c r="G103" s="7"/>
      <c r="H103" s="7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W103" s="10"/>
      <c r="Y103" s="10"/>
      <c r="AA103" s="10"/>
      <c r="AB103" s="10"/>
      <c r="AC103" s="10"/>
      <c r="AD103" s="10"/>
      <c r="AE103" s="10"/>
      <c r="AF103" s="7"/>
    </row>
    <row r="104" spans="1:32" x14ac:dyDescent="0.35">
      <c r="A104" s="156"/>
      <c r="B104" s="157"/>
      <c r="C104" s="4" t="s">
        <v>166</v>
      </c>
      <c r="D104" s="4" t="s">
        <v>120</v>
      </c>
      <c r="E104" s="7"/>
      <c r="F104" s="7"/>
      <c r="G104" s="7"/>
      <c r="H104" s="7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7"/>
    </row>
    <row r="105" spans="1:32" x14ac:dyDescent="0.35">
      <c r="A105" s="156"/>
      <c r="B105" s="157"/>
      <c r="C105" s="4" t="s">
        <v>405</v>
      </c>
      <c r="D105" s="4" t="s">
        <v>164</v>
      </c>
      <c r="E105" s="7"/>
      <c r="F105" s="7"/>
      <c r="G105" s="7"/>
      <c r="H105" s="7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7"/>
    </row>
    <row r="106" spans="1:32" x14ac:dyDescent="0.35">
      <c r="A106" s="156"/>
      <c r="B106" s="157"/>
      <c r="C106" s="4" t="s">
        <v>167</v>
      </c>
      <c r="D106" s="4" t="s">
        <v>120</v>
      </c>
      <c r="E106" s="7"/>
      <c r="F106" s="7"/>
      <c r="G106" s="7"/>
      <c r="H106" s="7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7"/>
    </row>
    <row r="107" spans="1:32" x14ac:dyDescent="0.35">
      <c r="A107" s="156"/>
      <c r="B107" s="157"/>
      <c r="C107" s="4" t="s">
        <v>168</v>
      </c>
      <c r="D107" s="4" t="s">
        <v>120</v>
      </c>
      <c r="E107" s="7"/>
      <c r="F107" s="7"/>
      <c r="G107" s="7"/>
      <c r="H107" s="7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7"/>
    </row>
    <row r="108" spans="1:32" x14ac:dyDescent="0.35">
      <c r="A108" s="156"/>
      <c r="B108" s="157"/>
      <c r="C108" s="4" t="s">
        <v>169</v>
      </c>
      <c r="D108" s="4" t="s">
        <v>164</v>
      </c>
      <c r="E108" s="7"/>
      <c r="F108" s="7"/>
      <c r="G108" s="7"/>
      <c r="H108" s="7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7"/>
    </row>
    <row r="109" spans="1:32" x14ac:dyDescent="0.35">
      <c r="A109" s="156"/>
      <c r="B109" s="157"/>
      <c r="C109" s="4" t="s">
        <v>170</v>
      </c>
      <c r="D109" s="4" t="s">
        <v>164</v>
      </c>
      <c r="E109" s="7"/>
      <c r="F109" s="7"/>
      <c r="G109" s="7"/>
      <c r="H109" s="7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7"/>
    </row>
    <row r="110" spans="1:32" x14ac:dyDescent="0.35">
      <c r="A110" s="156"/>
      <c r="B110" s="157"/>
      <c r="C110" s="4" t="s">
        <v>171</v>
      </c>
      <c r="D110" s="4" t="s">
        <v>172</v>
      </c>
      <c r="E110" s="7"/>
      <c r="F110" s="7"/>
      <c r="G110" s="7"/>
      <c r="H110" s="7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7"/>
    </row>
    <row r="111" spans="1:32" x14ac:dyDescent="0.35">
      <c r="A111" s="156"/>
      <c r="B111" s="157"/>
      <c r="C111" s="4" t="s">
        <v>173</v>
      </c>
      <c r="D111" s="4" t="s">
        <v>120</v>
      </c>
      <c r="E111" s="7"/>
      <c r="F111" s="7"/>
      <c r="G111" s="7"/>
      <c r="H111" s="7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7"/>
    </row>
    <row r="112" spans="1:32" x14ac:dyDescent="0.35">
      <c r="A112" s="156"/>
      <c r="B112" s="157"/>
      <c r="C112" s="4" t="s">
        <v>174</v>
      </c>
      <c r="D112" s="4" t="s">
        <v>120</v>
      </c>
      <c r="E112" s="7"/>
      <c r="F112" s="7"/>
      <c r="G112" s="7"/>
      <c r="H112" s="7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7"/>
    </row>
    <row r="113" spans="1:32" x14ac:dyDescent="0.35">
      <c r="A113" s="156"/>
      <c r="B113" s="157"/>
      <c r="C113" s="4" t="s">
        <v>175</v>
      </c>
      <c r="D113" s="4" t="s">
        <v>120</v>
      </c>
      <c r="E113" s="7"/>
      <c r="F113" s="7"/>
      <c r="G113" s="7"/>
      <c r="H113" s="7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7"/>
    </row>
    <row r="114" spans="1:32" x14ac:dyDescent="0.35">
      <c r="A114" s="156"/>
      <c r="B114" s="157" t="s">
        <v>479</v>
      </c>
      <c r="C114" s="4" t="s">
        <v>43</v>
      </c>
      <c r="D114" s="4" t="s">
        <v>120</v>
      </c>
      <c r="E114" s="7"/>
      <c r="F114" s="7"/>
      <c r="G114" s="7"/>
      <c r="H114" s="7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7"/>
    </row>
    <row r="115" spans="1:32" x14ac:dyDescent="0.35">
      <c r="A115" s="156"/>
      <c r="B115" s="157"/>
      <c r="C115" s="4" t="s">
        <v>40</v>
      </c>
      <c r="D115" s="4" t="s">
        <v>164</v>
      </c>
      <c r="E115" s="7"/>
      <c r="F115" s="7"/>
      <c r="G115" s="7"/>
      <c r="H115" s="7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7"/>
    </row>
    <row r="116" spans="1:32" x14ac:dyDescent="0.35">
      <c r="A116" s="156"/>
      <c r="B116" s="157"/>
      <c r="C116" s="4" t="s">
        <v>176</v>
      </c>
      <c r="D116" s="4" t="s">
        <v>164</v>
      </c>
      <c r="E116" s="7"/>
      <c r="F116" s="7"/>
      <c r="G116" s="7"/>
      <c r="H116" s="7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7"/>
    </row>
    <row r="117" spans="1:32" x14ac:dyDescent="0.35">
      <c r="A117" s="156"/>
      <c r="B117" s="157"/>
      <c r="C117" s="4" t="s">
        <v>177</v>
      </c>
      <c r="D117" s="4" t="s">
        <v>120</v>
      </c>
      <c r="E117" s="7"/>
      <c r="F117" s="7"/>
      <c r="G117" s="7"/>
      <c r="H117" s="7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7"/>
    </row>
    <row r="118" spans="1:32" x14ac:dyDescent="0.35">
      <c r="A118" s="156"/>
      <c r="B118" s="157"/>
      <c r="C118" s="4" t="s">
        <v>178</v>
      </c>
      <c r="D118" s="4" t="s">
        <v>120</v>
      </c>
      <c r="E118" s="7"/>
      <c r="F118" s="7"/>
      <c r="G118" s="7"/>
      <c r="H118" s="7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7"/>
    </row>
    <row r="119" spans="1:32" x14ac:dyDescent="0.35">
      <c r="A119" s="156"/>
      <c r="B119" s="157"/>
      <c r="C119" s="4" t="s">
        <v>179</v>
      </c>
      <c r="D119" s="4" t="s">
        <v>164</v>
      </c>
      <c r="E119" s="7"/>
      <c r="F119" s="7"/>
      <c r="G119" s="7"/>
      <c r="H119" s="7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7"/>
    </row>
    <row r="120" spans="1:32" x14ac:dyDescent="0.35">
      <c r="A120" s="156"/>
      <c r="B120" s="157"/>
      <c r="C120" s="4" t="s">
        <v>180</v>
      </c>
      <c r="D120" s="4" t="s">
        <v>120</v>
      </c>
      <c r="E120" s="7"/>
      <c r="F120" s="7"/>
      <c r="G120" s="7"/>
      <c r="H120" s="7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7"/>
    </row>
    <row r="121" spans="1:32" x14ac:dyDescent="0.35">
      <c r="A121" s="156"/>
      <c r="B121" s="157"/>
      <c r="C121" s="4" t="s">
        <v>181</v>
      </c>
      <c r="D121" s="4" t="s">
        <v>164</v>
      </c>
      <c r="E121" s="7"/>
      <c r="F121" s="7"/>
      <c r="G121" s="7"/>
      <c r="H121" s="7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7"/>
    </row>
    <row r="122" spans="1:32" x14ac:dyDescent="0.35">
      <c r="A122" s="156"/>
      <c r="B122" s="157"/>
      <c r="C122" s="4" t="s">
        <v>182</v>
      </c>
      <c r="D122" s="4" t="s">
        <v>164</v>
      </c>
      <c r="E122" s="7"/>
      <c r="F122" s="7"/>
      <c r="G122" s="7"/>
      <c r="H122" s="7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7"/>
    </row>
    <row r="123" spans="1:32" x14ac:dyDescent="0.35">
      <c r="A123" s="156"/>
      <c r="B123" s="157"/>
      <c r="C123" s="4" t="s">
        <v>183</v>
      </c>
      <c r="D123" s="4" t="s">
        <v>164</v>
      </c>
      <c r="E123" s="7"/>
      <c r="F123" s="7"/>
      <c r="G123" s="7"/>
      <c r="H123" s="7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7"/>
    </row>
    <row r="124" spans="1:32" x14ac:dyDescent="0.35">
      <c r="A124" s="156"/>
      <c r="B124" s="157" t="s">
        <v>411</v>
      </c>
      <c r="C124" s="4" t="s">
        <v>444</v>
      </c>
      <c r="D124" s="4" t="s">
        <v>164</v>
      </c>
      <c r="E124" s="7"/>
      <c r="F124" s="7"/>
      <c r="G124" s="7"/>
      <c r="H124" s="7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7"/>
    </row>
    <row r="125" spans="1:32" x14ac:dyDescent="0.35">
      <c r="A125" s="156"/>
      <c r="B125" s="157"/>
      <c r="C125" s="4" t="s">
        <v>480</v>
      </c>
      <c r="D125" s="4" t="s">
        <v>120</v>
      </c>
      <c r="E125" s="7"/>
      <c r="F125" s="7"/>
      <c r="G125" s="7"/>
      <c r="H125" s="7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7"/>
    </row>
    <row r="126" spans="1:32" x14ac:dyDescent="0.35">
      <c r="A126" s="156"/>
      <c r="B126" s="157"/>
      <c r="C126" s="4" t="s">
        <v>481</v>
      </c>
      <c r="D126" s="4" t="s">
        <v>120</v>
      </c>
      <c r="E126" s="7"/>
      <c r="F126" s="7"/>
      <c r="G126" s="7"/>
      <c r="H126" s="7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7"/>
    </row>
    <row r="127" spans="1:32" x14ac:dyDescent="0.35">
      <c r="A127" s="156"/>
      <c r="B127" s="157"/>
      <c r="C127" s="4" t="s">
        <v>482</v>
      </c>
      <c r="D127" s="4" t="s">
        <v>120</v>
      </c>
      <c r="E127" s="7"/>
      <c r="F127" s="7"/>
      <c r="G127" s="7"/>
      <c r="H127" s="7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7"/>
    </row>
    <row r="128" spans="1:32" x14ac:dyDescent="0.35">
      <c r="A128" s="156"/>
      <c r="B128" s="157"/>
      <c r="C128" s="4" t="s">
        <v>184</v>
      </c>
      <c r="D128" s="4" t="s">
        <v>120</v>
      </c>
      <c r="E128" s="7"/>
      <c r="F128" s="7"/>
      <c r="G128" s="7"/>
      <c r="H128" s="7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7"/>
    </row>
    <row r="129" spans="1:32" x14ac:dyDescent="0.35">
      <c r="A129" s="156"/>
      <c r="B129" s="157"/>
      <c r="C129" s="4" t="s">
        <v>185</v>
      </c>
      <c r="D129" s="4" t="s">
        <v>120</v>
      </c>
      <c r="E129" s="7"/>
      <c r="F129" s="7"/>
      <c r="G129" s="7"/>
      <c r="H129" s="7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7"/>
    </row>
    <row r="130" spans="1:32" x14ac:dyDescent="0.35">
      <c r="A130" s="156"/>
      <c r="B130" s="157"/>
      <c r="C130" s="4" t="s">
        <v>186</v>
      </c>
      <c r="D130" s="4" t="s">
        <v>120</v>
      </c>
      <c r="E130" s="7"/>
      <c r="F130" s="7"/>
      <c r="G130" s="7"/>
      <c r="H130" s="7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7"/>
    </row>
    <row r="131" spans="1:32" x14ac:dyDescent="0.35">
      <c r="A131" s="156"/>
      <c r="B131" s="157"/>
      <c r="C131" s="4" t="s">
        <v>187</v>
      </c>
      <c r="D131" s="4" t="s">
        <v>120</v>
      </c>
      <c r="E131" s="7"/>
      <c r="F131" s="7"/>
      <c r="G131" s="7"/>
      <c r="H131" s="7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7"/>
    </row>
    <row r="132" spans="1:32" x14ac:dyDescent="0.35">
      <c r="A132" s="156"/>
      <c r="B132" s="157"/>
      <c r="C132" s="4" t="s">
        <v>188</v>
      </c>
      <c r="D132" s="4" t="s">
        <v>164</v>
      </c>
      <c r="E132" s="7"/>
      <c r="F132" s="7"/>
      <c r="G132" s="7"/>
      <c r="H132" s="7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7"/>
    </row>
    <row r="133" spans="1:32" x14ac:dyDescent="0.35">
      <c r="A133" s="156"/>
      <c r="B133" s="157"/>
      <c r="C133" s="4" t="s">
        <v>189</v>
      </c>
      <c r="D133" s="4" t="s">
        <v>120</v>
      </c>
      <c r="E133" s="7"/>
      <c r="F133" s="7"/>
      <c r="G133" s="7"/>
      <c r="H133" s="7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7"/>
    </row>
    <row r="134" spans="1:32" x14ac:dyDescent="0.35">
      <c r="A134" s="156"/>
      <c r="B134" s="157"/>
      <c r="C134" s="4" t="s">
        <v>190</v>
      </c>
      <c r="D134" s="4" t="s">
        <v>164</v>
      </c>
      <c r="E134" s="7"/>
      <c r="F134" s="7"/>
      <c r="G134" s="7"/>
      <c r="H134" s="7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7"/>
    </row>
    <row r="135" spans="1:32" x14ac:dyDescent="0.35">
      <c r="A135" s="156"/>
      <c r="B135" s="157"/>
      <c r="C135" s="4" t="s">
        <v>191</v>
      </c>
      <c r="D135" s="4" t="s">
        <v>164</v>
      </c>
      <c r="E135" s="7"/>
      <c r="F135" s="7"/>
      <c r="G135" s="7"/>
      <c r="H135" s="7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7"/>
    </row>
    <row r="136" spans="1:32" x14ac:dyDescent="0.35">
      <c r="A136" s="156"/>
      <c r="B136" s="157"/>
      <c r="C136" s="4" t="s">
        <v>192</v>
      </c>
      <c r="D136" s="4" t="s">
        <v>120</v>
      </c>
      <c r="E136" s="7"/>
      <c r="F136" s="7"/>
      <c r="G136" s="7"/>
      <c r="H136" s="7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7"/>
    </row>
    <row r="137" spans="1:32" x14ac:dyDescent="0.35">
      <c r="A137" s="156"/>
      <c r="B137" s="157"/>
      <c r="C137" s="4" t="s">
        <v>193</v>
      </c>
      <c r="D137" s="4" t="s">
        <v>164</v>
      </c>
      <c r="E137" s="7"/>
      <c r="F137" s="7"/>
      <c r="G137" s="7"/>
      <c r="H137" s="7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7"/>
    </row>
    <row r="138" spans="1:32" x14ac:dyDescent="0.35">
      <c r="A138" s="156"/>
      <c r="B138" s="157"/>
      <c r="C138" s="4" t="s">
        <v>194</v>
      </c>
      <c r="D138" s="4" t="s">
        <v>164</v>
      </c>
      <c r="E138" s="7"/>
      <c r="F138" s="7"/>
      <c r="G138" s="7"/>
      <c r="H138" s="7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7"/>
    </row>
    <row r="139" spans="1:32" x14ac:dyDescent="0.35">
      <c r="A139" s="156"/>
      <c r="B139" s="157"/>
      <c r="C139" s="4" t="s">
        <v>483</v>
      </c>
      <c r="D139" s="4" t="s">
        <v>164</v>
      </c>
      <c r="E139" s="7"/>
      <c r="F139" s="7"/>
      <c r="G139" s="7"/>
      <c r="H139" s="7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7"/>
    </row>
    <row r="140" spans="1:32" x14ac:dyDescent="0.35">
      <c r="A140" s="156"/>
      <c r="B140" s="157"/>
      <c r="C140" s="4" t="s">
        <v>484</v>
      </c>
      <c r="D140" s="4" t="s">
        <v>164</v>
      </c>
      <c r="E140" s="7"/>
      <c r="F140" s="7"/>
      <c r="G140" s="7"/>
      <c r="H140" s="7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7"/>
    </row>
    <row r="141" spans="1:32" x14ac:dyDescent="0.35">
      <c r="A141" s="156"/>
      <c r="B141" s="157"/>
      <c r="C141" s="4" t="s">
        <v>195</v>
      </c>
      <c r="D141" s="4" t="s">
        <v>120</v>
      </c>
      <c r="E141" s="7"/>
      <c r="F141" s="7"/>
      <c r="G141" s="7"/>
      <c r="H141" s="7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7"/>
    </row>
    <row r="142" spans="1:32" x14ac:dyDescent="0.35">
      <c r="A142" s="156"/>
      <c r="B142" s="157"/>
      <c r="C142" s="4" t="s">
        <v>196</v>
      </c>
      <c r="D142" s="4" t="s">
        <v>164</v>
      </c>
      <c r="E142" s="7"/>
      <c r="F142" s="7"/>
      <c r="G142" s="7"/>
      <c r="H142" s="7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7"/>
    </row>
    <row r="143" spans="1:32" x14ac:dyDescent="0.35">
      <c r="A143" s="156"/>
      <c r="B143" s="157"/>
      <c r="C143" s="4" t="s">
        <v>485</v>
      </c>
      <c r="D143" s="4" t="s">
        <v>120</v>
      </c>
      <c r="E143" s="7"/>
      <c r="F143" s="7"/>
      <c r="G143" s="7"/>
      <c r="H143" s="7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7"/>
    </row>
    <row r="144" spans="1:32" x14ac:dyDescent="0.35">
      <c r="A144" s="156"/>
      <c r="B144" s="157"/>
      <c r="C144" s="4" t="s">
        <v>197</v>
      </c>
      <c r="D144" s="4" t="s">
        <v>120</v>
      </c>
      <c r="E144" s="7"/>
      <c r="F144" s="7"/>
      <c r="G144" s="7"/>
      <c r="H144" s="7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7"/>
    </row>
    <row r="145" spans="1:32" x14ac:dyDescent="0.35">
      <c r="A145" s="156"/>
      <c r="B145" s="157"/>
      <c r="C145" s="4" t="s">
        <v>198</v>
      </c>
      <c r="D145" s="4" t="s">
        <v>120</v>
      </c>
      <c r="E145" s="7"/>
      <c r="F145" s="7"/>
      <c r="G145" s="7"/>
      <c r="H145" s="7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7"/>
    </row>
    <row r="146" spans="1:32" x14ac:dyDescent="0.35">
      <c r="A146" s="156"/>
      <c r="B146" s="157"/>
      <c r="C146" s="4" t="s">
        <v>486</v>
      </c>
      <c r="D146" s="4" t="s">
        <v>164</v>
      </c>
      <c r="E146" s="7"/>
      <c r="F146" s="7"/>
      <c r="G146" s="7"/>
      <c r="H146" s="7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7"/>
    </row>
    <row r="147" spans="1:32" x14ac:dyDescent="0.35">
      <c r="A147" s="156"/>
      <c r="B147" s="157"/>
      <c r="C147" s="4" t="s">
        <v>199</v>
      </c>
      <c r="D147" s="4" t="s">
        <v>120</v>
      </c>
      <c r="E147" s="7"/>
      <c r="F147" s="7"/>
      <c r="G147" s="7"/>
      <c r="H147" s="7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7"/>
    </row>
    <row r="148" spans="1:32" x14ac:dyDescent="0.35">
      <c r="A148" s="156"/>
      <c r="B148" s="157"/>
      <c r="C148" s="4" t="s">
        <v>200</v>
      </c>
      <c r="D148" s="4" t="s">
        <v>164</v>
      </c>
      <c r="E148" s="7"/>
      <c r="F148" s="7"/>
      <c r="G148" s="7"/>
      <c r="H148" s="7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7"/>
    </row>
    <row r="149" spans="1:32" x14ac:dyDescent="0.35">
      <c r="A149" s="156"/>
      <c r="B149" s="157"/>
      <c r="C149" s="4" t="s">
        <v>201</v>
      </c>
      <c r="D149" s="4" t="s">
        <v>120</v>
      </c>
      <c r="E149" s="7"/>
      <c r="F149" s="7"/>
      <c r="G149" s="7"/>
      <c r="H149" s="7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7"/>
    </row>
    <row r="150" spans="1:32" x14ac:dyDescent="0.35">
      <c r="A150" s="156"/>
      <c r="B150" s="157"/>
      <c r="C150" s="4" t="s">
        <v>202</v>
      </c>
      <c r="D150" s="4" t="s">
        <v>120</v>
      </c>
      <c r="E150" s="7"/>
      <c r="F150" s="7"/>
      <c r="G150" s="7"/>
      <c r="H150" s="7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7"/>
    </row>
    <row r="151" spans="1:32" x14ac:dyDescent="0.35">
      <c r="A151" s="156"/>
      <c r="B151" s="157"/>
      <c r="C151" s="4" t="s">
        <v>203</v>
      </c>
      <c r="D151" s="4" t="s">
        <v>164</v>
      </c>
      <c r="E151" s="7"/>
      <c r="F151" s="7"/>
      <c r="G151" s="7"/>
      <c r="H151" s="7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7"/>
    </row>
    <row r="152" spans="1:32" x14ac:dyDescent="0.35">
      <c r="A152" s="156"/>
      <c r="B152" s="157"/>
      <c r="C152" s="4" t="s">
        <v>487</v>
      </c>
      <c r="D152" s="4" t="s">
        <v>120</v>
      </c>
      <c r="E152" s="7"/>
      <c r="F152" s="7"/>
      <c r="G152" s="7"/>
      <c r="H152" s="7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7"/>
    </row>
    <row r="153" spans="1:32" x14ac:dyDescent="0.35">
      <c r="A153" s="156"/>
      <c r="B153" s="157"/>
      <c r="C153" s="4" t="s">
        <v>488</v>
      </c>
      <c r="D153" s="4" t="s">
        <v>164</v>
      </c>
      <c r="E153" s="7"/>
      <c r="F153" s="7"/>
      <c r="G153" s="7"/>
      <c r="H153" s="7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7"/>
    </row>
    <row r="154" spans="1:32" x14ac:dyDescent="0.35">
      <c r="A154" s="156"/>
      <c r="B154" s="157"/>
      <c r="C154" s="4" t="s">
        <v>489</v>
      </c>
      <c r="D154" s="4" t="s">
        <v>164</v>
      </c>
      <c r="E154" s="7"/>
      <c r="F154" s="7"/>
      <c r="G154" s="7"/>
      <c r="H154" s="7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7"/>
    </row>
    <row r="155" spans="1:32" x14ac:dyDescent="0.35">
      <c r="A155" s="156"/>
      <c r="B155" s="157" t="s">
        <v>412</v>
      </c>
      <c r="C155" s="4" t="s">
        <v>44</v>
      </c>
      <c r="D155" s="4" t="s">
        <v>164</v>
      </c>
      <c r="E155" s="7"/>
      <c r="F155" s="7"/>
      <c r="G155" s="7"/>
      <c r="H155" s="7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7"/>
    </row>
    <row r="156" spans="1:32" x14ac:dyDescent="0.35">
      <c r="A156" s="156"/>
      <c r="B156" s="157"/>
      <c r="C156" s="4" t="s">
        <v>204</v>
      </c>
      <c r="D156" s="4" t="s">
        <v>120</v>
      </c>
      <c r="E156" s="7"/>
      <c r="F156" s="7"/>
      <c r="G156" s="7"/>
      <c r="H156" s="7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7"/>
    </row>
    <row r="157" spans="1:32" x14ac:dyDescent="0.35">
      <c r="A157" s="156"/>
      <c r="B157" s="157"/>
      <c r="C157" s="4" t="s">
        <v>205</v>
      </c>
      <c r="D157" s="4" t="s">
        <v>164</v>
      </c>
      <c r="E157" s="7"/>
      <c r="F157" s="7"/>
      <c r="G157" s="7"/>
      <c r="H157" s="7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7"/>
    </row>
    <row r="158" spans="1:32" x14ac:dyDescent="0.35">
      <c r="A158" s="156"/>
      <c r="B158" s="157"/>
      <c r="C158" s="4" t="s">
        <v>206</v>
      </c>
      <c r="D158" s="4" t="s">
        <v>120</v>
      </c>
      <c r="E158" s="7"/>
      <c r="F158" s="7"/>
      <c r="G158" s="7"/>
      <c r="H158" s="7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7"/>
    </row>
    <row r="159" spans="1:32" x14ac:dyDescent="0.35">
      <c r="A159" s="156"/>
      <c r="B159" s="157" t="s">
        <v>413</v>
      </c>
      <c r="C159" s="4" t="s">
        <v>445</v>
      </c>
      <c r="D159" s="4" t="s">
        <v>120</v>
      </c>
      <c r="E159" s="7"/>
      <c r="F159" s="7"/>
      <c r="G159" s="7"/>
      <c r="H159" s="7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7"/>
    </row>
    <row r="160" spans="1:32" x14ac:dyDescent="0.35">
      <c r="A160" s="156"/>
      <c r="B160" s="157"/>
      <c r="C160" s="4" t="s">
        <v>490</v>
      </c>
      <c r="D160" s="4" t="s">
        <v>120</v>
      </c>
      <c r="E160" s="7"/>
      <c r="F160" s="7"/>
      <c r="G160" s="7"/>
      <c r="H160" s="7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7"/>
    </row>
    <row r="161" spans="1:32" x14ac:dyDescent="0.35">
      <c r="A161" s="156"/>
      <c r="B161" s="157" t="s">
        <v>207</v>
      </c>
      <c r="C161" s="4" t="s">
        <v>45</v>
      </c>
      <c r="D161" s="4" t="s">
        <v>164</v>
      </c>
      <c r="E161" s="7"/>
      <c r="F161" s="7"/>
      <c r="G161" s="7"/>
      <c r="H161" s="7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7"/>
    </row>
    <row r="162" spans="1:32" x14ac:dyDescent="0.35">
      <c r="A162" s="156"/>
      <c r="B162" s="157"/>
      <c r="C162" s="4" t="s">
        <v>208</v>
      </c>
      <c r="D162" s="4" t="s">
        <v>164</v>
      </c>
      <c r="E162" s="7"/>
      <c r="F162" s="7"/>
      <c r="G162" s="7"/>
      <c r="H162" s="7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7"/>
    </row>
    <row r="163" spans="1:32" x14ac:dyDescent="0.35">
      <c r="A163" s="156"/>
      <c r="B163" s="157"/>
      <c r="C163" s="4" t="s">
        <v>209</v>
      </c>
      <c r="D163" s="4" t="s">
        <v>120</v>
      </c>
      <c r="E163" s="7"/>
      <c r="F163" s="7"/>
      <c r="G163" s="7"/>
      <c r="H163" s="7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7"/>
    </row>
    <row r="164" spans="1:32" x14ac:dyDescent="0.35">
      <c r="A164" s="156"/>
      <c r="B164" s="157"/>
      <c r="C164" s="4" t="s">
        <v>210</v>
      </c>
      <c r="D164" s="4" t="s">
        <v>120</v>
      </c>
      <c r="E164" s="7"/>
      <c r="F164" s="7"/>
      <c r="G164" s="7"/>
      <c r="H164" s="7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7"/>
    </row>
    <row r="165" spans="1:32" x14ac:dyDescent="0.35">
      <c r="A165" s="156"/>
      <c r="B165" s="157"/>
      <c r="C165" s="4" t="s">
        <v>491</v>
      </c>
      <c r="D165" s="4" t="s">
        <v>120</v>
      </c>
      <c r="E165" s="7"/>
      <c r="F165" s="7"/>
      <c r="G165" s="7"/>
      <c r="H165" s="7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7"/>
    </row>
    <row r="166" spans="1:32" x14ac:dyDescent="0.35">
      <c r="A166" s="156"/>
      <c r="B166" s="157"/>
      <c r="C166" s="4" t="s">
        <v>211</v>
      </c>
      <c r="D166" s="4" t="s">
        <v>120</v>
      </c>
      <c r="E166" s="7"/>
      <c r="F166" s="7"/>
      <c r="G166" s="7"/>
      <c r="H166" s="7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7"/>
    </row>
    <row r="167" spans="1:32" x14ac:dyDescent="0.35">
      <c r="A167" s="156"/>
      <c r="B167" s="157"/>
      <c r="C167" s="4" t="s">
        <v>212</v>
      </c>
      <c r="D167" s="4" t="s">
        <v>120</v>
      </c>
      <c r="E167" s="7"/>
      <c r="F167" s="7"/>
      <c r="G167" s="7"/>
      <c r="H167" s="7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7"/>
    </row>
    <row r="168" spans="1:32" x14ac:dyDescent="0.35">
      <c r="A168" s="156"/>
      <c r="B168" s="157" t="s">
        <v>213</v>
      </c>
      <c r="C168" s="4" t="s">
        <v>214</v>
      </c>
      <c r="D168" s="4" t="s">
        <v>120</v>
      </c>
      <c r="E168" s="7"/>
      <c r="F168" s="7"/>
      <c r="G168" s="7"/>
      <c r="H168" s="7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7"/>
    </row>
    <row r="169" spans="1:32" x14ac:dyDescent="0.35">
      <c r="A169" s="156"/>
      <c r="B169" s="157"/>
      <c r="C169" s="4" t="s">
        <v>215</v>
      </c>
      <c r="D169" s="4" t="s">
        <v>120</v>
      </c>
      <c r="E169" s="7"/>
      <c r="F169" s="7"/>
      <c r="G169" s="7"/>
      <c r="H169" s="7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7"/>
    </row>
    <row r="170" spans="1:32" x14ac:dyDescent="0.35">
      <c r="A170" s="156"/>
      <c r="B170" s="157"/>
      <c r="C170" s="4" t="s">
        <v>214</v>
      </c>
      <c r="D170" s="4" t="s">
        <v>120</v>
      </c>
      <c r="E170" s="7"/>
      <c r="F170" s="7"/>
      <c r="G170" s="7"/>
      <c r="H170" s="7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7"/>
    </row>
    <row r="171" spans="1:32" x14ac:dyDescent="0.35">
      <c r="A171" s="156"/>
      <c r="B171" s="157"/>
      <c r="C171" s="8" t="s">
        <v>215</v>
      </c>
      <c r="D171" s="4" t="s">
        <v>120</v>
      </c>
      <c r="E171" s="7"/>
      <c r="F171" s="7"/>
      <c r="G171" s="7"/>
      <c r="H171" s="7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7"/>
    </row>
  </sheetData>
  <mergeCells count="169">
    <mergeCell ref="Y1:Z1"/>
    <mergeCell ref="AB1:AC1"/>
    <mergeCell ref="AE1:AF1"/>
    <mergeCell ref="A2:A41"/>
    <mergeCell ref="B2:B5"/>
    <mergeCell ref="H2:H5"/>
    <mergeCell ref="K2:K5"/>
    <mergeCell ref="N2:N5"/>
    <mergeCell ref="G1:H1"/>
    <mergeCell ref="J1:K1"/>
    <mergeCell ref="M1:N1"/>
    <mergeCell ref="P1:Q1"/>
    <mergeCell ref="S1:T1"/>
    <mergeCell ref="V1:W1"/>
    <mergeCell ref="AF2:AF5"/>
    <mergeCell ref="B6:B9"/>
    <mergeCell ref="H6:H9"/>
    <mergeCell ref="K6:K9"/>
    <mergeCell ref="N6:N9"/>
    <mergeCell ref="Q6:Q9"/>
    <mergeCell ref="T6:T9"/>
    <mergeCell ref="W6:W9"/>
    <mergeCell ref="Z6:Z9"/>
    <mergeCell ref="Q2:Q5"/>
    <mergeCell ref="T2:T5"/>
    <mergeCell ref="W2:W5"/>
    <mergeCell ref="Z2:Z5"/>
    <mergeCell ref="AC2:AC5"/>
    <mergeCell ref="W10:W15"/>
    <mergeCell ref="Z10:Z15"/>
    <mergeCell ref="AC10:AC15"/>
    <mergeCell ref="AF10:AF15"/>
    <mergeCell ref="AC6:AC9"/>
    <mergeCell ref="AF6:AF9"/>
    <mergeCell ref="B10:B15"/>
    <mergeCell ref="H10:H15"/>
    <mergeCell ref="K10:K15"/>
    <mergeCell ref="N10:N15"/>
    <mergeCell ref="Q10:Q15"/>
    <mergeCell ref="T10:T15"/>
    <mergeCell ref="W16:W17"/>
    <mergeCell ref="Z16:Z17"/>
    <mergeCell ref="AC16:AC17"/>
    <mergeCell ref="AF16:AF17"/>
    <mergeCell ref="B16:B17"/>
    <mergeCell ref="H16:H17"/>
    <mergeCell ref="K16:K17"/>
    <mergeCell ref="N16:N17"/>
    <mergeCell ref="Q16:Q17"/>
    <mergeCell ref="T16:T17"/>
    <mergeCell ref="W18:W21"/>
    <mergeCell ref="Z18:Z21"/>
    <mergeCell ref="AC18:AC21"/>
    <mergeCell ref="AF18:AF21"/>
    <mergeCell ref="B18:B21"/>
    <mergeCell ref="H18:H21"/>
    <mergeCell ref="K18:K21"/>
    <mergeCell ref="N18:N21"/>
    <mergeCell ref="Q18:Q21"/>
    <mergeCell ref="T18:T21"/>
    <mergeCell ref="W22:W31"/>
    <mergeCell ref="Z22:Z31"/>
    <mergeCell ref="AC22:AC31"/>
    <mergeCell ref="AF22:AF31"/>
    <mergeCell ref="B22:B31"/>
    <mergeCell ref="H22:H31"/>
    <mergeCell ref="K22:K31"/>
    <mergeCell ref="N22:N31"/>
    <mergeCell ref="Q22:Q31"/>
    <mergeCell ref="T22:T31"/>
    <mergeCell ref="W32:W35"/>
    <mergeCell ref="Z32:Z35"/>
    <mergeCell ref="AC32:AC35"/>
    <mergeCell ref="AF32:AF35"/>
    <mergeCell ref="B32:B35"/>
    <mergeCell ref="H32:H35"/>
    <mergeCell ref="K32:K35"/>
    <mergeCell ref="N32:N35"/>
    <mergeCell ref="Q32:Q35"/>
    <mergeCell ref="T32:T35"/>
    <mergeCell ref="W36:W37"/>
    <mergeCell ref="Z36:Z37"/>
    <mergeCell ref="AC36:AC37"/>
    <mergeCell ref="AF36:AF37"/>
    <mergeCell ref="B36:B37"/>
    <mergeCell ref="H36:H37"/>
    <mergeCell ref="K36:K37"/>
    <mergeCell ref="N36:N37"/>
    <mergeCell ref="Q36:Q37"/>
    <mergeCell ref="T36:T37"/>
    <mergeCell ref="W38:W39"/>
    <mergeCell ref="Z38:Z39"/>
    <mergeCell ref="AC38:AC39"/>
    <mergeCell ref="AF38:AF39"/>
    <mergeCell ref="B38:B39"/>
    <mergeCell ref="H38:H39"/>
    <mergeCell ref="K38:K39"/>
    <mergeCell ref="N38:N39"/>
    <mergeCell ref="Q38:Q39"/>
    <mergeCell ref="T38:T39"/>
    <mergeCell ref="W40:W41"/>
    <mergeCell ref="Z40:Z41"/>
    <mergeCell ref="AC40:AC41"/>
    <mergeCell ref="AF40:AF41"/>
    <mergeCell ref="B40:B41"/>
    <mergeCell ref="H40:H41"/>
    <mergeCell ref="K40:K41"/>
    <mergeCell ref="N40:N41"/>
    <mergeCell ref="Q40:Q41"/>
    <mergeCell ref="T40:T41"/>
    <mergeCell ref="AF42:AF49"/>
    <mergeCell ref="B50:B66"/>
    <mergeCell ref="H50:H66"/>
    <mergeCell ref="K50:K66"/>
    <mergeCell ref="N50:N66"/>
    <mergeCell ref="Q50:Q66"/>
    <mergeCell ref="T50:T66"/>
    <mergeCell ref="W50:W66"/>
    <mergeCell ref="Z50:Z66"/>
    <mergeCell ref="T42:T49"/>
    <mergeCell ref="W42:W49"/>
    <mergeCell ref="Z42:Z49"/>
    <mergeCell ref="AC42:AC49"/>
    <mergeCell ref="B42:B49"/>
    <mergeCell ref="H42:H49"/>
    <mergeCell ref="K42:K49"/>
    <mergeCell ref="N42:N49"/>
    <mergeCell ref="Q42:Q49"/>
    <mergeCell ref="AF67:AF81"/>
    <mergeCell ref="B82:B93"/>
    <mergeCell ref="H82:H93"/>
    <mergeCell ref="K82:K93"/>
    <mergeCell ref="N82:N93"/>
    <mergeCell ref="Q82:Q93"/>
    <mergeCell ref="AC50:AC66"/>
    <mergeCell ref="AF50:AF66"/>
    <mergeCell ref="B67:B81"/>
    <mergeCell ref="H67:H81"/>
    <mergeCell ref="K67:K81"/>
    <mergeCell ref="N67:N81"/>
    <mergeCell ref="Q67:Q81"/>
    <mergeCell ref="T67:T81"/>
    <mergeCell ref="W67:W81"/>
    <mergeCell ref="AF82:AF93"/>
    <mergeCell ref="AC82:AC93"/>
    <mergeCell ref="B168:B171"/>
    <mergeCell ref="AC94:AC100"/>
    <mergeCell ref="AF94:AF100"/>
    <mergeCell ref="A102:A171"/>
    <mergeCell ref="B102:B113"/>
    <mergeCell ref="B114:B123"/>
    <mergeCell ref="B124:B154"/>
    <mergeCell ref="B155:B158"/>
    <mergeCell ref="B159:B160"/>
    <mergeCell ref="B161:B167"/>
    <mergeCell ref="A42:A101"/>
    <mergeCell ref="B94:B100"/>
    <mergeCell ref="H94:H100"/>
    <mergeCell ref="K94:K100"/>
    <mergeCell ref="N94:N100"/>
    <mergeCell ref="Q94:Q100"/>
    <mergeCell ref="T94:T100"/>
    <mergeCell ref="W94:W100"/>
    <mergeCell ref="Z94:Z100"/>
    <mergeCell ref="T82:T93"/>
    <mergeCell ref="W82:W93"/>
    <mergeCell ref="Z82:Z93"/>
    <mergeCell ref="Z67:Z81"/>
    <mergeCell ref="AC67:AC8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3C72-4B08-4B6F-8C46-34DB55052BCA}">
  <dimension ref="A1:T10"/>
  <sheetViews>
    <sheetView topLeftCell="A7" workbookViewId="0">
      <selection activeCell="B6" sqref="B6"/>
    </sheetView>
  </sheetViews>
  <sheetFormatPr defaultRowHeight="15" x14ac:dyDescent="0.25"/>
  <sheetData>
    <row r="1" spans="1:20" x14ac:dyDescent="0.25">
      <c r="B1" s="74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J1" t="s">
        <v>295</v>
      </c>
      <c r="K1" t="s">
        <v>296</v>
      </c>
      <c r="L1" t="s">
        <v>297</v>
      </c>
      <c r="O1" t="s">
        <v>298</v>
      </c>
      <c r="P1" t="s">
        <v>299</v>
      </c>
      <c r="Q1" t="s">
        <v>296</v>
      </c>
      <c r="R1" t="s">
        <v>300</v>
      </c>
      <c r="S1" t="s">
        <v>297</v>
      </c>
      <c r="T1" t="s">
        <v>301</v>
      </c>
    </row>
    <row r="2" spans="1:20" x14ac:dyDescent="0.25">
      <c r="A2" t="s">
        <v>302</v>
      </c>
      <c r="B2">
        <v>3.3519999999999999</v>
      </c>
      <c r="C2">
        <v>2.7879999999999998</v>
      </c>
      <c r="D2">
        <v>3.0960000000000001</v>
      </c>
      <c r="E2">
        <v>3.4279999999999999</v>
      </c>
      <c r="F2">
        <v>2.6240000000000001</v>
      </c>
      <c r="G2">
        <v>3.1240000000000001</v>
      </c>
      <c r="I2" t="s">
        <v>302</v>
      </c>
      <c r="J2">
        <v>2.7160000000000002</v>
      </c>
      <c r="K2">
        <v>2.6720000000000002</v>
      </c>
      <c r="L2">
        <v>2.3559999999999999</v>
      </c>
      <c r="N2" t="s">
        <v>302</v>
      </c>
      <c r="O2">
        <v>2.64</v>
      </c>
      <c r="P2">
        <v>2.6440000000000001</v>
      </c>
      <c r="Q2">
        <v>2.52</v>
      </c>
      <c r="R2">
        <v>3.1480000000000001</v>
      </c>
      <c r="S2">
        <v>2.948</v>
      </c>
      <c r="T2">
        <v>2.7559999999999998</v>
      </c>
    </row>
    <row r="3" spans="1:20" x14ac:dyDescent="0.25">
      <c r="A3" t="s">
        <v>303</v>
      </c>
      <c r="B3">
        <v>3.55</v>
      </c>
      <c r="C3">
        <v>3.42</v>
      </c>
      <c r="D3">
        <v>3.2519999999999998</v>
      </c>
      <c r="E3">
        <v>3.552</v>
      </c>
      <c r="F3">
        <v>3.4359999999999999</v>
      </c>
      <c r="G3">
        <v>3.6280000000000001</v>
      </c>
      <c r="I3" t="s">
        <v>303</v>
      </c>
      <c r="J3">
        <v>2.96</v>
      </c>
      <c r="K3">
        <v>3.1920000000000002</v>
      </c>
      <c r="L3">
        <v>3.4359999999999999</v>
      </c>
      <c r="N3" t="s">
        <v>303</v>
      </c>
      <c r="O3">
        <v>3.1560000000000001</v>
      </c>
      <c r="P3">
        <v>3.36</v>
      </c>
      <c r="Q3">
        <v>2.9319999999999999</v>
      </c>
      <c r="R3">
        <v>3.2320000000000002</v>
      </c>
      <c r="S3">
        <v>3.0840000000000001</v>
      </c>
      <c r="T3">
        <v>3.024</v>
      </c>
    </row>
    <row r="4" spans="1:20" x14ac:dyDescent="0.25">
      <c r="A4" t="s">
        <v>304</v>
      </c>
      <c r="B4">
        <v>3.2759999999999998</v>
      </c>
      <c r="C4">
        <v>2.96</v>
      </c>
      <c r="D4">
        <v>2.8879999999999999</v>
      </c>
      <c r="F4">
        <v>2.6040000000000001</v>
      </c>
      <c r="I4" t="s">
        <v>304</v>
      </c>
      <c r="J4">
        <v>2.82</v>
      </c>
      <c r="K4">
        <v>2.988</v>
      </c>
      <c r="L4">
        <v>2.9239999999999999</v>
      </c>
      <c r="N4" t="s">
        <v>304</v>
      </c>
      <c r="O4">
        <v>2.72</v>
      </c>
      <c r="P4">
        <v>3.1840000000000002</v>
      </c>
      <c r="Q4">
        <v>2.968</v>
      </c>
      <c r="R4">
        <v>2.6720000000000002</v>
      </c>
      <c r="S4">
        <v>2.86</v>
      </c>
      <c r="T4">
        <v>3.1880000000000002</v>
      </c>
    </row>
    <row r="5" spans="1:20" x14ac:dyDescent="0.25">
      <c r="A5" t="s">
        <v>305</v>
      </c>
      <c r="B5">
        <v>2.92</v>
      </c>
      <c r="C5">
        <v>3.28</v>
      </c>
      <c r="D5">
        <v>2.92</v>
      </c>
      <c r="E5">
        <v>2.84</v>
      </c>
      <c r="F5">
        <v>3.036</v>
      </c>
      <c r="G5">
        <v>3.044</v>
      </c>
      <c r="I5" t="s">
        <v>306</v>
      </c>
      <c r="J5">
        <v>2.5760000000000001</v>
      </c>
      <c r="K5">
        <v>2.6440000000000001</v>
      </c>
      <c r="N5" t="s">
        <v>306</v>
      </c>
      <c r="O5">
        <v>2.3719999999999999</v>
      </c>
      <c r="P5">
        <v>2.968</v>
      </c>
      <c r="Q5">
        <v>2.984</v>
      </c>
      <c r="R5">
        <v>2.3079999999999998</v>
      </c>
      <c r="S5">
        <v>2.42</v>
      </c>
      <c r="T5">
        <v>2.7320000000000002</v>
      </c>
    </row>
    <row r="6" spans="1:20" x14ac:dyDescent="0.25">
      <c r="A6" t="s">
        <v>307</v>
      </c>
      <c r="B6">
        <v>2.39</v>
      </c>
      <c r="C6">
        <v>3.3959999999999999</v>
      </c>
      <c r="D6">
        <v>3.0419999999999998</v>
      </c>
      <c r="E6">
        <v>3.0720000000000001</v>
      </c>
      <c r="F6">
        <v>3.1139999999999999</v>
      </c>
      <c r="G6">
        <v>3.2679999999999998</v>
      </c>
      <c r="I6" t="s">
        <v>308</v>
      </c>
      <c r="J6">
        <v>3.1</v>
      </c>
      <c r="K6">
        <v>2.6760000000000002</v>
      </c>
      <c r="L6">
        <v>2.6480000000000001</v>
      </c>
      <c r="N6" t="s">
        <v>308</v>
      </c>
      <c r="O6">
        <v>3.2040000000000002</v>
      </c>
      <c r="P6">
        <v>3.2559999999999998</v>
      </c>
      <c r="Q6">
        <v>3.024</v>
      </c>
      <c r="R6">
        <v>2.68</v>
      </c>
      <c r="S6">
        <v>3.024</v>
      </c>
      <c r="T6">
        <v>3.6240000000000001</v>
      </c>
    </row>
    <row r="7" spans="1:20" x14ac:dyDescent="0.25">
      <c r="A7" t="s">
        <v>309</v>
      </c>
      <c r="B7">
        <v>2.1040000000000001</v>
      </c>
      <c r="C7">
        <v>2.8959999999999999</v>
      </c>
      <c r="D7">
        <v>3.472</v>
      </c>
      <c r="E7">
        <v>2.5760000000000001</v>
      </c>
      <c r="F7">
        <v>2.1320000000000001</v>
      </c>
      <c r="G7">
        <v>2.6280000000000001</v>
      </c>
      <c r="I7" t="s">
        <v>309</v>
      </c>
      <c r="J7">
        <v>3.3559999999999999</v>
      </c>
      <c r="K7">
        <v>2.7559999999999998</v>
      </c>
      <c r="L7">
        <v>2.7559999999999998</v>
      </c>
      <c r="N7" t="s">
        <v>309</v>
      </c>
      <c r="O7">
        <v>2.94</v>
      </c>
      <c r="P7">
        <v>3.3</v>
      </c>
      <c r="Q7">
        <v>3.2559999999999998</v>
      </c>
      <c r="R7">
        <v>3.2519999999999998</v>
      </c>
      <c r="S7">
        <v>2.9359999999999999</v>
      </c>
      <c r="T7">
        <v>2.92</v>
      </c>
    </row>
    <row r="8" spans="1:20" x14ac:dyDescent="0.25">
      <c r="A8" t="s">
        <v>310</v>
      </c>
      <c r="B8">
        <v>2.6</v>
      </c>
      <c r="C8">
        <v>2.58</v>
      </c>
      <c r="D8">
        <v>2.964</v>
      </c>
      <c r="E8">
        <v>3.036</v>
      </c>
      <c r="F8">
        <v>2.9079999999999999</v>
      </c>
      <c r="G8">
        <v>2.98</v>
      </c>
      <c r="I8" t="s">
        <v>310</v>
      </c>
      <c r="J8">
        <v>3.4</v>
      </c>
      <c r="K8">
        <v>2.7120000000000002</v>
      </c>
      <c r="L8">
        <v>3.032</v>
      </c>
      <c r="N8" t="s">
        <v>310</v>
      </c>
      <c r="O8">
        <v>3.476</v>
      </c>
      <c r="P8">
        <v>3.1080000000000001</v>
      </c>
      <c r="Q8">
        <v>3.1840000000000002</v>
      </c>
      <c r="R8">
        <v>3.1320000000000001</v>
      </c>
      <c r="S8">
        <v>3.28</v>
      </c>
      <c r="T8">
        <v>3.012</v>
      </c>
    </row>
    <row r="9" spans="1:20" x14ac:dyDescent="0.25">
      <c r="A9" t="s">
        <v>311</v>
      </c>
      <c r="B9">
        <v>2.3239999999999998</v>
      </c>
      <c r="C9">
        <v>2.952</v>
      </c>
      <c r="D9">
        <v>3.004</v>
      </c>
      <c r="E9">
        <v>3.3919999999999999</v>
      </c>
      <c r="F9">
        <v>3.1040000000000001</v>
      </c>
      <c r="G9">
        <v>2.78</v>
      </c>
      <c r="I9" t="s">
        <v>311</v>
      </c>
      <c r="J9">
        <v>2.7959999999999998</v>
      </c>
      <c r="K9">
        <v>3.528</v>
      </c>
      <c r="L9">
        <v>3.2719999999999998</v>
      </c>
      <c r="N9" t="s">
        <v>311</v>
      </c>
      <c r="O9">
        <v>3.1080000000000001</v>
      </c>
      <c r="P9">
        <v>3.3439999999999999</v>
      </c>
      <c r="Q9">
        <v>3.6880000000000002</v>
      </c>
      <c r="R9">
        <v>3.2679999999999998</v>
      </c>
      <c r="S9">
        <v>3.0840000000000001</v>
      </c>
      <c r="T9">
        <v>3.28</v>
      </c>
    </row>
    <row r="10" spans="1:20" x14ac:dyDescent="0.25">
      <c r="A10" t="s">
        <v>312</v>
      </c>
      <c r="B10">
        <v>3.1520000000000001</v>
      </c>
      <c r="C10">
        <v>3.048</v>
      </c>
      <c r="D10">
        <v>2.5880000000000001</v>
      </c>
      <c r="F10">
        <v>1.968</v>
      </c>
      <c r="G10">
        <v>3.9319999999999999</v>
      </c>
      <c r="I10" t="s">
        <v>312</v>
      </c>
      <c r="J10">
        <v>2.2719999999999998</v>
      </c>
      <c r="N10" t="s">
        <v>312</v>
      </c>
      <c r="O10">
        <v>2.3839999999999999</v>
      </c>
      <c r="P10">
        <v>2.2440000000000002</v>
      </c>
      <c r="Q10">
        <v>3.0720000000000001</v>
      </c>
      <c r="R10">
        <v>2.7480000000000002</v>
      </c>
      <c r="S10">
        <v>2.544</v>
      </c>
      <c r="T10">
        <v>2.7959999999999998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e1809b-b801-4b70-a833-f24a3b8e8cfd">
      <Terms xmlns="http://schemas.microsoft.com/office/infopath/2007/PartnerControls"/>
    </lcf76f155ced4ddcb4097134ff3c332f>
    <TaxCatchAll xmlns="ef04e9fc-a830-4e55-8598-7720fdfc43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AFBD17A5CB674881D7FB8DCA689607" ma:contentTypeVersion="13" ma:contentTypeDescription="Create a new document." ma:contentTypeScope="" ma:versionID="5691b60ef9919fb548df031da530b49a">
  <xsd:schema xmlns:xsd="http://www.w3.org/2001/XMLSchema" xmlns:xs="http://www.w3.org/2001/XMLSchema" xmlns:p="http://schemas.microsoft.com/office/2006/metadata/properties" xmlns:ns2="f8e1809b-b801-4b70-a833-f24a3b8e8cfd" xmlns:ns3="ef04e9fc-a830-4e55-8598-7720fdfc4311" targetNamespace="http://schemas.microsoft.com/office/2006/metadata/properties" ma:root="true" ma:fieldsID="62e81ac4f7ad13a18b6c8aecedbcf377" ns2:_="" ns3:_="">
    <xsd:import namespace="f8e1809b-b801-4b70-a833-f24a3b8e8cfd"/>
    <xsd:import namespace="ef04e9fc-a830-4e55-8598-7720fdfc43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1809b-b801-4b70-a833-f24a3b8e8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d04d8d5-0557-46b6-84ea-3696171f5b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4e9fc-a830-4e55-8598-7720fdfc43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5bbb1b-de69-45ee-8322-6b36c3769dfb}" ma:internalName="TaxCatchAll" ma:showField="CatchAllData" ma:web="ef04e9fc-a830-4e55-8598-7720fdfc43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80AAE5-0D3E-4121-B164-EE88ACD361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11597B-FB76-45F7-9FC2-9D495E3F1B18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ef04e9fc-a830-4e55-8598-7720fdfc4311"/>
    <ds:schemaRef ds:uri="f8e1809b-b801-4b70-a833-f24a3b8e8cfd"/>
  </ds:schemaRefs>
</ds:datastoreItem>
</file>

<file path=customXml/itemProps3.xml><?xml version="1.0" encoding="utf-8"?>
<ds:datastoreItem xmlns:ds="http://schemas.openxmlformats.org/officeDocument/2006/customXml" ds:itemID="{150C6DE4-BF63-4DE7-984C-7DA7DC222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e1809b-b801-4b70-a833-f24a3b8e8cfd"/>
    <ds:schemaRef ds:uri="ef04e9fc-a830-4e55-8598-7720fdfc4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RT-60t</vt:lpstr>
      <vt:lpstr>RT-75t </vt:lpstr>
      <vt:lpstr>RT-100t</vt:lpstr>
      <vt:lpstr>RT-130t</vt:lpstr>
      <vt:lpstr>RT-160t</vt:lpstr>
      <vt:lpstr>AT-150t</vt:lpstr>
      <vt:lpstr>5-6</vt:lpstr>
      <vt:lpstr>6-7 缺</vt:lpstr>
      <vt:lpstr>40-60</vt:lpstr>
      <vt:lpstr>总结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David Frerking</cp:lastModifiedBy>
  <cp:revision/>
  <dcterms:created xsi:type="dcterms:W3CDTF">2015-06-05T18:19:34Z</dcterms:created>
  <dcterms:modified xsi:type="dcterms:W3CDTF">2026-07-31T14:28:54Z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0x0101003AAFBD17A5CB674881D7FB8DCA689607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